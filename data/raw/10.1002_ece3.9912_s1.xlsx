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davies_411_osu_edu/Documents/Documents/Ohio/Papers/Wildfire veg/"/>
    </mc:Choice>
  </mc:AlternateContent>
  <xr:revisionPtr revIDLastSave="1" documentId="13_ncr:1_{7F50B15E-B0FC-42AC-9967-0BB1C0CF89EC}" xr6:coauthVersionLast="47" xr6:coauthVersionMax="47" xr10:uidLastSave="{1D399796-ED5C-4649-A479-E64101053CF3}"/>
  <bookViews>
    <workbookView xWindow="-28920" yWindow="-120" windowWidth="29040" windowHeight="15840" xr2:uid="{00000000-000D-0000-FFFF-FFFF00000000}"/>
  </bookViews>
  <sheets>
    <sheet name="Read me" sheetId="3" r:id="rId1"/>
    <sheet name="1 Species data" sheetId="1" r:id="rId2"/>
    <sheet name="2 Species codes" sheetId="5" r:id="rId3"/>
    <sheet name="3 Family data" sheetId="4" r:id="rId4"/>
    <sheet name="4 Ind Vars" sheetId="2" r:id="rId5"/>
    <sheet name="5 Plot locations" sheetId="7" r:id="rId6"/>
    <sheet name="6 Var code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4" l="1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A2" i="1"/>
  <c r="D23" i="2" l="1"/>
  <c r="A23" i="2"/>
  <c r="D22" i="2"/>
  <c r="A22" i="2"/>
  <c r="D21" i="2"/>
  <c r="A21" i="2"/>
  <c r="D20" i="2"/>
  <c r="A20" i="2"/>
  <c r="D19" i="2"/>
  <c r="A19" i="2"/>
  <c r="D18" i="2"/>
  <c r="A18" i="2"/>
  <c r="D17" i="2"/>
  <c r="A17" i="2"/>
  <c r="D16" i="2"/>
  <c r="A16" i="2"/>
  <c r="D15" i="2"/>
  <c r="A15" i="2"/>
  <c r="D14" i="2"/>
  <c r="A14" i="2"/>
  <c r="D13" i="2"/>
  <c r="A13" i="2"/>
  <c r="D12" i="2"/>
  <c r="A12" i="2"/>
  <c r="D11" i="2"/>
  <c r="A11" i="2"/>
  <c r="D10" i="2"/>
  <c r="A10" i="2"/>
  <c r="D9" i="2"/>
  <c r="A9" i="2"/>
  <c r="D8" i="2"/>
  <c r="A8" i="2"/>
  <c r="D7" i="2"/>
  <c r="A7" i="2"/>
  <c r="D6" i="2"/>
  <c r="A6" i="2"/>
  <c r="D5" i="2"/>
  <c r="A5" i="2"/>
  <c r="D4" i="2"/>
  <c r="A4" i="2"/>
  <c r="D3" i="2"/>
  <c r="A3" i="2"/>
  <c r="D2" i="2"/>
  <c r="A2" i="2"/>
</calcChain>
</file>

<file path=xl/sharedStrings.xml><?xml version="1.0" encoding="utf-8"?>
<sst xmlns="http://schemas.openxmlformats.org/spreadsheetml/2006/main" count="1545" uniqueCount="365">
  <si>
    <t>ACPT</t>
  </si>
  <si>
    <t>acrocarpous</t>
  </si>
  <si>
    <t>AGCA</t>
  </si>
  <si>
    <t>AGROS</t>
  </si>
  <si>
    <t>algae</t>
  </si>
  <si>
    <t>ATUN</t>
  </si>
  <si>
    <t>AUPA</t>
  </si>
  <si>
    <t>BLSP</t>
  </si>
  <si>
    <t>bryophyte</t>
  </si>
  <si>
    <t>CAAT</t>
  </si>
  <si>
    <t>CACA</t>
  </si>
  <si>
    <t>CAEC</t>
  </si>
  <si>
    <t>CAFL</t>
  </si>
  <si>
    <t>CAFR</t>
  </si>
  <si>
    <t>CAIN</t>
  </si>
  <si>
    <t>CAMU</t>
  </si>
  <si>
    <t>CANI</t>
  </si>
  <si>
    <t>CAPY</t>
  </si>
  <si>
    <t>CAVU</t>
  </si>
  <si>
    <t>CEBI</t>
  </si>
  <si>
    <t>CEDI</t>
  </si>
  <si>
    <t>CEHA</t>
  </si>
  <si>
    <t>CEPHA</t>
  </si>
  <si>
    <t>CEPHA2</t>
  </si>
  <si>
    <t>CEPU</t>
  </si>
  <si>
    <t>CLADO</t>
  </si>
  <si>
    <t>CLCH</t>
  </si>
  <si>
    <t>CLSQ</t>
  </si>
  <si>
    <t>DEFL</t>
  </si>
  <si>
    <t>DIAL</t>
  </si>
  <si>
    <t>DISC</t>
  </si>
  <si>
    <t>DRDI</t>
  </si>
  <si>
    <t>DRYOP</t>
  </si>
  <si>
    <t>ELRE</t>
  </si>
  <si>
    <t>EMNI</t>
  </si>
  <si>
    <t>ERAN</t>
  </si>
  <si>
    <t>ERTE</t>
  </si>
  <si>
    <t>ERVA</t>
  </si>
  <si>
    <t>FEFI</t>
  </si>
  <si>
    <t>GAAP</t>
  </si>
  <si>
    <t>GASA</t>
  </si>
  <si>
    <t>graminoid</t>
  </si>
  <si>
    <t>HYCU</t>
  </si>
  <si>
    <t>HYJU</t>
  </si>
  <si>
    <t>HYSP</t>
  </si>
  <si>
    <t>KIPR</t>
  </si>
  <si>
    <t>LEGL</t>
  </si>
  <si>
    <t>liverwort</t>
  </si>
  <si>
    <t>LUMU</t>
  </si>
  <si>
    <t>MOCA</t>
  </si>
  <si>
    <t>MYGA</t>
  </si>
  <si>
    <t>PISY</t>
  </si>
  <si>
    <t>PLSC</t>
  </si>
  <si>
    <t>PLUN</t>
  </si>
  <si>
    <t>POAL</t>
  </si>
  <si>
    <t>POCU</t>
  </si>
  <si>
    <t>POER</t>
  </si>
  <si>
    <t>POJU</t>
  </si>
  <si>
    <t>POLO</t>
  </si>
  <si>
    <t>PONU</t>
  </si>
  <si>
    <t>POSE</t>
  </si>
  <si>
    <t>PSPU</t>
  </si>
  <si>
    <t>PTAQ</t>
  </si>
  <si>
    <t>RHAL</t>
  </si>
  <si>
    <t>RHSQ</t>
  </si>
  <si>
    <t>SPCO</t>
  </si>
  <si>
    <t>SPFA</t>
  </si>
  <si>
    <t>SPGI</t>
  </si>
  <si>
    <t>SPHAG</t>
  </si>
  <si>
    <t>SPPA</t>
  </si>
  <si>
    <t>SPSU</t>
  </si>
  <si>
    <t>SPTE</t>
  </si>
  <si>
    <t>ULEU</t>
  </si>
  <si>
    <t>unknown</t>
  </si>
  <si>
    <t>VAMY</t>
  </si>
  <si>
    <t>VAVI</t>
  </si>
  <si>
    <t>A</t>
  </si>
  <si>
    <t>B</t>
  </si>
  <si>
    <t>UB</t>
  </si>
  <si>
    <t>F</t>
  </si>
  <si>
    <t>M</t>
  </si>
  <si>
    <t>S</t>
  </si>
  <si>
    <t>W</t>
  </si>
  <si>
    <t>Fire</t>
  </si>
  <si>
    <t>Plot</t>
  </si>
  <si>
    <t>Status</t>
  </si>
  <si>
    <t>Code</t>
  </si>
  <si>
    <t>F.pl</t>
  </si>
  <si>
    <t>NVC</t>
  </si>
  <si>
    <t>DMC</t>
  </si>
  <si>
    <t>DC</t>
  </si>
  <si>
    <t>FWI</t>
  </si>
  <si>
    <t>pCBI.grnd</t>
  </si>
  <si>
    <t>pCBI.surf</t>
  </si>
  <si>
    <t>pCBI</t>
  </si>
  <si>
    <t>M19</t>
  </si>
  <si>
    <t>H12</t>
  </si>
  <si>
    <t>M20</t>
  </si>
  <si>
    <t>M25a</t>
  </si>
  <si>
    <t>W18b</t>
  </si>
  <si>
    <t>fire.plot</t>
  </si>
  <si>
    <t>CECO</t>
  </si>
  <si>
    <t>CLBE</t>
  </si>
  <si>
    <t>HYCO</t>
  </si>
  <si>
    <t>peat</t>
  </si>
  <si>
    <t>POPI</t>
  </si>
  <si>
    <t>PSEL</t>
  </si>
  <si>
    <t>SPPA2</t>
  </si>
  <si>
    <t>Dryopteridaceae</t>
  </si>
  <si>
    <t>Pinaceae</t>
  </si>
  <si>
    <t>Aspleniaceae</t>
  </si>
  <si>
    <t>Bryale</t>
  </si>
  <si>
    <t>Cladoniaceae</t>
  </si>
  <si>
    <t>Cyperaceae</t>
  </si>
  <si>
    <t>Dennstaedtiaceae</t>
  </si>
  <si>
    <t>Dicranale</t>
  </si>
  <si>
    <t>Ericoideae</t>
  </si>
  <si>
    <t>forb</t>
  </si>
  <si>
    <t>Hypnale</t>
  </si>
  <si>
    <t>Juncaceae</t>
  </si>
  <si>
    <t>Jungermanniale</t>
  </si>
  <si>
    <t>Myricaceae</t>
  </si>
  <si>
    <t>Unknown</t>
  </si>
  <si>
    <t>Poaceae</t>
  </si>
  <si>
    <t>Polytrichale</t>
  </si>
  <si>
    <t>Sphagnale</t>
  </si>
  <si>
    <t>Vaccinioideae</t>
  </si>
  <si>
    <t>Worksheet Independent variables extracted from data associated with fuel consumption and fire severity analysis</t>
  </si>
  <si>
    <t>See file "FWI_CBI_consumption_140902.xlsx"</t>
  </si>
  <si>
    <t>Birse CBI data extracted from file "CBI_results_141002/xlsx"</t>
  </si>
  <si>
    <t>NA</t>
  </si>
  <si>
    <t>Faboideae.shrb</t>
  </si>
  <si>
    <t>Species_code</t>
  </si>
  <si>
    <t>Genus</t>
  </si>
  <si>
    <t>species</t>
  </si>
  <si>
    <t>Group 1</t>
  </si>
  <si>
    <t>Group 2</t>
  </si>
  <si>
    <t>Notes</t>
  </si>
  <si>
    <t>Achillea</t>
  </si>
  <si>
    <t>ptarmica</t>
  </si>
  <si>
    <t>Agrostis</t>
  </si>
  <si>
    <t>canina</t>
  </si>
  <si>
    <t>grass</t>
  </si>
  <si>
    <t>Atrichum</t>
  </si>
  <si>
    <t>undulatum</t>
  </si>
  <si>
    <t>Aulacomnium</t>
  </si>
  <si>
    <t>palustre</t>
  </si>
  <si>
    <t>Blechnum</t>
  </si>
  <si>
    <t>spicant</t>
  </si>
  <si>
    <t>Eupolypod</t>
  </si>
  <si>
    <t>Campylopus</t>
  </si>
  <si>
    <t>atrovirens</t>
  </si>
  <si>
    <t xml:space="preserve">Carex </t>
  </si>
  <si>
    <t>caryophyllea</t>
  </si>
  <si>
    <t>sedge</t>
  </si>
  <si>
    <t>Carex</t>
  </si>
  <si>
    <t>echinata</t>
  </si>
  <si>
    <t>flexuosus</t>
  </si>
  <si>
    <t>fragillis</t>
  </si>
  <si>
    <t>introflexus</t>
  </si>
  <si>
    <t>Calypogeia</t>
  </si>
  <si>
    <t>muelleriana</t>
  </si>
  <si>
    <t>nigra</t>
  </si>
  <si>
    <t>pyriformis</t>
  </si>
  <si>
    <t>Calluna</t>
  </si>
  <si>
    <t>vulgaris</t>
  </si>
  <si>
    <t>shrub</t>
  </si>
  <si>
    <t>Cephalozia</t>
  </si>
  <si>
    <t>bicuspidata</t>
  </si>
  <si>
    <t>connivens</t>
  </si>
  <si>
    <t>Cephaloziella</t>
  </si>
  <si>
    <t>divaricata</t>
  </si>
  <si>
    <t xml:space="preserve">Cephaloziella </t>
  </si>
  <si>
    <t>hampeana</t>
  </si>
  <si>
    <t>Ceratodon</t>
  </si>
  <si>
    <t>purpureus</t>
  </si>
  <si>
    <t>Cladonia</t>
  </si>
  <si>
    <t>lichen</t>
  </si>
  <si>
    <t>chlorophea</t>
  </si>
  <si>
    <t>squamosa</t>
  </si>
  <si>
    <t>Deschampsia</t>
  </si>
  <si>
    <t>flexuosa</t>
  </si>
  <si>
    <t>Diplophylum</t>
  </si>
  <si>
    <t>albicans</t>
  </si>
  <si>
    <t>Dicranum</t>
  </si>
  <si>
    <t>scoparium</t>
  </si>
  <si>
    <t>Dryopteris</t>
  </si>
  <si>
    <t>dilitata</t>
  </si>
  <si>
    <t>Elymus</t>
  </si>
  <si>
    <t>repens</t>
  </si>
  <si>
    <t>Empetrum</t>
  </si>
  <si>
    <t>nigrum</t>
  </si>
  <si>
    <t>Eriophorum</t>
  </si>
  <si>
    <t>angustifolium</t>
  </si>
  <si>
    <t>Erica</t>
  </si>
  <si>
    <t>tetralix</t>
  </si>
  <si>
    <t>vaginatum</t>
  </si>
  <si>
    <t>Festuca</t>
  </si>
  <si>
    <t>filiformis</t>
  </si>
  <si>
    <t>Galium</t>
  </si>
  <si>
    <t>aparine</t>
  </si>
  <si>
    <t>saxatile</t>
  </si>
  <si>
    <t>Hypnum</t>
  </si>
  <si>
    <t>cuppressiforme</t>
  </si>
  <si>
    <t>pleurocarpous</t>
  </si>
  <si>
    <t>jutlandicum</t>
  </si>
  <si>
    <t>Hylocomium</t>
  </si>
  <si>
    <t>splendens</t>
  </si>
  <si>
    <t>JUSQ</t>
  </si>
  <si>
    <t>Juncus</t>
  </si>
  <si>
    <t>squarrosus</t>
  </si>
  <si>
    <t>rush</t>
  </si>
  <si>
    <t>Kindbergia</t>
  </si>
  <si>
    <t>praelonga</t>
  </si>
  <si>
    <t>Leucobryum</t>
  </si>
  <si>
    <t>glaucum</t>
  </si>
  <si>
    <t>Luzula</t>
  </si>
  <si>
    <t>multiflora</t>
  </si>
  <si>
    <t>Molinia</t>
  </si>
  <si>
    <t>caerulea</t>
  </si>
  <si>
    <t>Myrica</t>
  </si>
  <si>
    <t>gale</t>
  </si>
  <si>
    <t>Pinus</t>
  </si>
  <si>
    <t>sylvestris</t>
  </si>
  <si>
    <t>conifer</t>
  </si>
  <si>
    <t>Pleurozium</t>
  </si>
  <si>
    <t>schreberi</t>
  </si>
  <si>
    <t>Plagiothecium</t>
  </si>
  <si>
    <t>Pogonatum</t>
  </si>
  <si>
    <t>aloides</t>
  </si>
  <si>
    <t>POCO</t>
  </si>
  <si>
    <t xml:space="preserve">Polytrichum </t>
  </si>
  <si>
    <t>commune</t>
  </si>
  <si>
    <t>Potentilla</t>
  </si>
  <si>
    <t>erecta</t>
  </si>
  <si>
    <t>Polytrichum</t>
  </si>
  <si>
    <t>juniperinum</t>
  </si>
  <si>
    <t>longisetum</t>
  </si>
  <si>
    <t>Pohlia</t>
  </si>
  <si>
    <t>nutans</t>
  </si>
  <si>
    <t>piliferum</t>
  </si>
  <si>
    <t>Polygala</t>
  </si>
  <si>
    <t>serpyllifolia</t>
  </si>
  <si>
    <t>Pseudotaxiphyllum</t>
  </si>
  <si>
    <t>elegans</t>
  </si>
  <si>
    <t>Pseudoscleropodium</t>
  </si>
  <si>
    <t>purum</t>
  </si>
  <si>
    <t>Pteridium</t>
  </si>
  <si>
    <t>aquilinum</t>
  </si>
  <si>
    <t>Rhynchospora</t>
  </si>
  <si>
    <t>alba</t>
  </si>
  <si>
    <t>Rhytidiadelphus</t>
  </si>
  <si>
    <t>Sphagnum</t>
  </si>
  <si>
    <t>compactum</t>
  </si>
  <si>
    <t>(s Rigida)</t>
  </si>
  <si>
    <t>fallax</t>
  </si>
  <si>
    <t>(s Cuspidata)</t>
  </si>
  <si>
    <t>girgensohnii</t>
  </si>
  <si>
    <t>(s Acutifolia)</t>
  </si>
  <si>
    <t>(s Sphagnum)</t>
  </si>
  <si>
    <t>papillosum</t>
  </si>
  <si>
    <t>subnitens</t>
  </si>
  <si>
    <t>tenellum</t>
  </si>
  <si>
    <t>Ulex</t>
  </si>
  <si>
    <t>europaeus</t>
  </si>
  <si>
    <t>Faboideae (shrub)</t>
  </si>
  <si>
    <t xml:space="preserve">Vaccinium </t>
  </si>
  <si>
    <t>myrtillus</t>
  </si>
  <si>
    <t>vitis-idaea</t>
  </si>
  <si>
    <t xml:space="preserve">Resilience of temperate peatland vegetation communities to wildfire depends upon burn severity and pre-fire species composition
</t>
  </si>
  <si>
    <t>G. Matt Davies, Alan Gray &amp; Rut Domènech</t>
  </si>
  <si>
    <t>Variabe</t>
  </si>
  <si>
    <t>Definition</t>
  </si>
  <si>
    <t>Angelzarke</t>
  </si>
  <si>
    <t>Birse</t>
  </si>
  <si>
    <t>Finzean</t>
  </si>
  <si>
    <t>Marsden Moor</t>
  </si>
  <si>
    <t>Loch Doon</t>
  </si>
  <si>
    <t>Wainstalls</t>
  </si>
  <si>
    <t>Plot number within fire</t>
  </si>
  <si>
    <t>Unique plot identifier</t>
  </si>
  <si>
    <t>Burned</t>
  </si>
  <si>
    <t>Unburned</t>
  </si>
  <si>
    <t>NVC Community code - see</t>
  </si>
  <si>
    <t>Fire_name</t>
  </si>
  <si>
    <t>Fire_date</t>
  </si>
  <si>
    <t>Plot_number</t>
  </si>
  <si>
    <t>Subplot_status</t>
  </si>
  <si>
    <t>Subplot_location</t>
  </si>
  <si>
    <t>X_location</t>
  </si>
  <si>
    <t>Y_location</t>
  </si>
  <si>
    <t>Anglezarke</t>
  </si>
  <si>
    <t>529046 5946946</t>
  </si>
  <si>
    <t>529102 5946986</t>
  </si>
  <si>
    <t>530995 5945374</t>
  </si>
  <si>
    <t>531007 5945332</t>
  </si>
  <si>
    <t>Marsden</t>
  </si>
  <si>
    <t>568267 5938676</t>
  </si>
  <si>
    <t>568164 5938646</t>
  </si>
  <si>
    <t>566607 5939854</t>
  </si>
  <si>
    <t>566500 5939844</t>
  </si>
  <si>
    <t xml:space="preserve">Wainstalls </t>
  </si>
  <si>
    <t>570310 5959177</t>
  </si>
  <si>
    <t>570288 5959202</t>
  </si>
  <si>
    <t>570774 5959935</t>
  </si>
  <si>
    <t>570776 5959882</t>
  </si>
  <si>
    <t xml:space="preserve">Star </t>
  </si>
  <si>
    <t>411241 6119985</t>
  </si>
  <si>
    <t>411294 6119841</t>
  </si>
  <si>
    <t>410981 6119987</t>
  </si>
  <si>
    <t>410935 6119967</t>
  </si>
  <si>
    <t>518030 6319545</t>
  </si>
  <si>
    <t>518064 6319552</t>
  </si>
  <si>
    <t>517980 6319727</t>
  </si>
  <si>
    <t>518009 6319734</t>
  </si>
  <si>
    <t>516749 6318201</t>
  </si>
  <si>
    <t>516787 6318206</t>
  </si>
  <si>
    <t>Subplot_UTM_zone</t>
  </si>
  <si>
    <t>30U</t>
  </si>
  <si>
    <t>30V</t>
  </si>
  <si>
    <t>Peatland Composite Burn Index for the ground (moss, litter, peat) layer. See https://doi.org/10.5194/bg-13-389-2016</t>
  </si>
  <si>
    <t>Peatland Composite Burn Index for the surface (shrubs, herbaceous vegetation, fine fuels) layer. See https://doi.org/10.5194/bg-13-389-2016</t>
  </si>
  <si>
    <t>Overall Peatland Composite Burn Index. See https://doi.org/10.5194/bg-13-389-2016</t>
  </si>
  <si>
    <t>Duff Moisture Code (~ moisture content of deeper moss/litter layers and peat). See https://cfs.nrcan.gc.ca/publications?id=19927</t>
  </si>
  <si>
    <t>Drought Code (~ moisture content of peat). See https://cfs.nrcan.gc.ca/publications?id=19927</t>
  </si>
  <si>
    <t>Fire Weather Index (~ fireline intensity). See https://cfs.nrcan.gc.ca/publications?id=19927</t>
  </si>
  <si>
    <t>Sheet</t>
  </si>
  <si>
    <t>Name of fire - relates to Code definitions for sheet 4 above</t>
  </si>
  <si>
    <t>Date fire was first reported - note some fires burned for &gt; 1 day</t>
  </si>
  <si>
    <t>As per "Status" variable for sheet 4</t>
  </si>
  <si>
    <t>UTM zone for the central point of each 20 m diameter sub-plot</t>
  </si>
  <si>
    <t>UTM location for the central point of each 20 m diameter sub-plot</t>
  </si>
  <si>
    <t>Unique sub-plot identifier</t>
  </si>
  <si>
    <t>As per "Fire" variable in Sheet 1</t>
  </si>
  <si>
    <t>As per "Status" variable for Sheet 1</t>
  </si>
  <si>
    <t>ACPT - end</t>
  </si>
  <si>
    <t>Unique species identifier codes with species frequency across eight quadrats within each sub-plot reported for each as the relevant cell values</t>
  </si>
  <si>
    <t>Unqiue species identified used for recording of species frequency in Sheet 1</t>
  </si>
  <si>
    <t>Genus name for the given code (NA for unidentified at this level)</t>
  </si>
  <si>
    <t>Species name for given code (NA if unidentified to this level)</t>
  </si>
  <si>
    <t>Grouping for analysis - often by plant family though forbs are lumped due to infrequency in data</t>
  </si>
  <si>
    <t>Grouping level 2 for analysis - by plant functional type</t>
  </si>
  <si>
    <t>Any notes or comments on the species or its identification</t>
  </si>
  <si>
    <t>Fire code as per Sheet 1</t>
  </si>
  <si>
    <t>Status code as per Sheet 1</t>
  </si>
  <si>
    <t>Dryopteridaceae - end</t>
  </si>
  <si>
    <t>Family (+ some plant functional type) frequency across eight quadrats located within each subplot</t>
  </si>
  <si>
    <t>Quadrat placement co-ordinates on N-S axis of plot - positive values are north of central point, negative values south (999 = missing value)</t>
  </si>
  <si>
    <t>Quadrat placement co-ordinates on W-E axis of plot - positive values are west of central point, negative values east (999 = missing value)</t>
  </si>
  <si>
    <t>Worksheet</t>
  </si>
  <si>
    <t>Contents</t>
  </si>
  <si>
    <t>1 Species data</t>
  </si>
  <si>
    <t>2 Species codes</t>
  </si>
  <si>
    <t>3 Family data</t>
  </si>
  <si>
    <t>4 Ind vars</t>
  </si>
  <si>
    <t>5 Plot locations</t>
  </si>
  <si>
    <t>6 Var codes</t>
  </si>
  <si>
    <t>Cross-walk to identity species codes used in Sheet 1 providing genus and species names in addition to two broader taxonomic levels (Family and plant functional type). Some records are to genus, family or PFT only</t>
  </si>
  <si>
    <t>Independent variables used in data analysis including UK NVC community type, burn severity (pCBI) scores and fire weather (CFWIS) moisture code values for day of burn</t>
  </si>
  <si>
    <t>Locations for all subplots and quadrats to allow repeat monitoring</t>
  </si>
  <si>
    <t>Metadata table defining all Worksheet columbs and any associated codes or abbreviations used</t>
  </si>
  <si>
    <t>Note on original data storage locations (for authors' information only)</t>
  </si>
  <si>
    <t>Shared under a CC BY-NC-SA 4.0 license (Attribution-NonCommercial-ShareAlike 4.0 International)</t>
  </si>
  <si>
    <t>Family, Order or PFT frequency in the same plots/subplots as for Worksheet 1</t>
  </si>
  <si>
    <t>Species frequency in each of 11 plots (including 22 paired burned-unburned subplots). Eight quadrats in total per subplot thus abundance ranges from 0-8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</si>
</sst>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 applyFill="1" applyBorder="1"/>
    <xf numFmtId="2" fontId="0" fillId="0" borderId="0" xfId="0" applyNumberFormat="1" applyFont="1" applyFill="1" applyBorder="1"/>
    <xf numFmtId="164" fontId="0" fillId="0" borderId="0" xfId="0" applyNumberFormat="1" applyFill="1"/>
    <xf numFmtId="0" fontId="0" fillId="0" borderId="0" xfId="0" applyFill="1"/>
    <xf numFmtId="0" fontId="1" fillId="0" borderId="0" xfId="0" applyFont="1"/>
    <xf numFmtId="0" fontId="0" fillId="0" borderId="0" xfId="0" applyAlignment="1"/>
    <xf numFmtId="0" fontId="2" fillId="0" borderId="0" xfId="0" applyFont="1" applyAlignment="1"/>
    <xf numFmtId="14" fontId="0" fillId="0" borderId="0" xfId="0" applyNumberFormat="1"/>
    <xf numFmtId="14" fontId="1" fillId="0" borderId="0" xfId="0" applyNumberFormat="1" applyFont="1"/>
    <xf numFmtId="0" fontId="0" fillId="0" borderId="0" xfId="0" applyFont="1"/>
    <xf numFmtId="14" fontId="0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K29" sqref="K29"/>
    </sheetView>
  </sheetViews>
  <sheetFormatPr defaultRowHeight="15" x14ac:dyDescent="0.25"/>
  <cols>
    <col min="1" max="1" width="14.85546875" bestFit="1" customWidth="1"/>
    <col min="2" max="2" width="9" bestFit="1" customWidth="1"/>
  </cols>
  <sheetData>
    <row r="1" spans="1:2" s="6" customFormat="1" ht="18.75" x14ac:dyDescent="0.3">
      <c r="A1" s="7" t="s">
        <v>269</v>
      </c>
    </row>
    <row r="2" spans="1:2" x14ac:dyDescent="0.25">
      <c r="A2" t="s">
        <v>270</v>
      </c>
    </row>
    <row r="3" spans="1:2" x14ac:dyDescent="0.25">
      <c r="A3" s="14" t="s">
        <v>362</v>
      </c>
    </row>
    <row r="5" spans="1:2" x14ac:dyDescent="0.25">
      <c r="A5" s="5" t="s">
        <v>349</v>
      </c>
      <c r="B5" s="5" t="s">
        <v>350</v>
      </c>
    </row>
    <row r="6" spans="1:2" x14ac:dyDescent="0.25">
      <c r="A6" t="s">
        <v>351</v>
      </c>
      <c r="B6" t="s">
        <v>364</v>
      </c>
    </row>
    <row r="7" spans="1:2" x14ac:dyDescent="0.25">
      <c r="A7" t="s">
        <v>352</v>
      </c>
      <c r="B7" t="s">
        <v>357</v>
      </c>
    </row>
    <row r="8" spans="1:2" x14ac:dyDescent="0.25">
      <c r="A8" t="s">
        <v>353</v>
      </c>
      <c r="B8" t="s">
        <v>363</v>
      </c>
    </row>
    <row r="9" spans="1:2" x14ac:dyDescent="0.25">
      <c r="A9" t="s">
        <v>354</v>
      </c>
      <c r="B9" t="s">
        <v>358</v>
      </c>
    </row>
    <row r="10" spans="1:2" x14ac:dyDescent="0.25">
      <c r="A10" t="s">
        <v>355</v>
      </c>
      <c r="B10" t="s">
        <v>359</v>
      </c>
    </row>
    <row r="11" spans="1:2" x14ac:dyDescent="0.25">
      <c r="A11" t="s">
        <v>356</v>
      </c>
      <c r="B11" t="s">
        <v>360</v>
      </c>
    </row>
    <row r="13" spans="1:2" x14ac:dyDescent="0.25">
      <c r="A13" s="12" t="s">
        <v>361</v>
      </c>
      <c r="B13" s="13"/>
    </row>
    <row r="14" spans="1:2" x14ac:dyDescent="0.25">
      <c r="A14" s="13" t="s">
        <v>127</v>
      </c>
      <c r="B14" s="13"/>
    </row>
    <row r="15" spans="1:2" x14ac:dyDescent="0.25">
      <c r="A15" s="13"/>
      <c r="B15" s="13" t="s">
        <v>128</v>
      </c>
    </row>
    <row r="16" spans="1:2" x14ac:dyDescent="0.25">
      <c r="A16" s="13"/>
      <c r="B16" s="13" t="s">
        <v>129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J23"/>
  <sheetViews>
    <sheetView workbookViewId="0">
      <selection activeCell="A25" sqref="A25"/>
    </sheetView>
  </sheetViews>
  <sheetFormatPr defaultRowHeight="15" x14ac:dyDescent="0.25"/>
  <sheetData>
    <row r="1" spans="1:88" x14ac:dyDescent="0.25">
      <c r="A1" t="s">
        <v>86</v>
      </c>
      <c r="B1" t="s">
        <v>100</v>
      </c>
      <c r="C1" t="s">
        <v>83</v>
      </c>
      <c r="D1" t="s">
        <v>84</v>
      </c>
      <c r="E1" t="s">
        <v>85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101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102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103</v>
      </c>
      <c r="AY1" t="s">
        <v>42</v>
      </c>
      <c r="AZ1" t="s">
        <v>43</v>
      </c>
      <c r="BA1" t="s">
        <v>44</v>
      </c>
      <c r="BB1" t="s">
        <v>45</v>
      </c>
      <c r="BC1" t="s">
        <v>46</v>
      </c>
      <c r="BD1" t="s">
        <v>47</v>
      </c>
      <c r="BE1" t="s">
        <v>48</v>
      </c>
      <c r="BF1" t="s">
        <v>49</v>
      </c>
      <c r="BG1" t="s">
        <v>50</v>
      </c>
      <c r="BH1" t="s">
        <v>104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105</v>
      </c>
      <c r="BS1" t="s">
        <v>60</v>
      </c>
      <c r="BT1" t="s">
        <v>106</v>
      </c>
      <c r="BU1" t="s">
        <v>61</v>
      </c>
      <c r="BV1" t="s">
        <v>62</v>
      </c>
      <c r="BW1" t="s">
        <v>63</v>
      </c>
      <c r="BX1" t="s">
        <v>64</v>
      </c>
      <c r="BY1" t="s">
        <v>65</v>
      </c>
      <c r="BZ1" t="s">
        <v>66</v>
      </c>
      <c r="CA1" t="s">
        <v>67</v>
      </c>
      <c r="CB1" t="s">
        <v>68</v>
      </c>
      <c r="CC1" t="s">
        <v>69</v>
      </c>
      <c r="CD1" t="s">
        <v>107</v>
      </c>
      <c r="CE1" t="s">
        <v>70</v>
      </c>
      <c r="CF1" t="s">
        <v>71</v>
      </c>
      <c r="CG1" t="s">
        <v>72</v>
      </c>
      <c r="CH1" t="s">
        <v>73</v>
      </c>
      <c r="CI1" t="s">
        <v>74</v>
      </c>
      <c r="CJ1" t="s">
        <v>75</v>
      </c>
    </row>
    <row r="2" spans="1:88" x14ac:dyDescent="0.25">
      <c r="A2" t="str">
        <f>CONCATENATE(C2,".",D2,".",E2)</f>
        <v>A.2.B</v>
      </c>
      <c r="B2" t="str">
        <f>CONCATENATE(C2,".",D2)</f>
        <v>A.2</v>
      </c>
      <c r="C2" t="s">
        <v>76</v>
      </c>
      <c r="D2">
        <v>2</v>
      </c>
      <c r="E2" t="s">
        <v>77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8</v>
      </c>
      <c r="Y2">
        <v>2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4</v>
      </c>
      <c r="AK2">
        <v>2</v>
      </c>
      <c r="AL2">
        <v>7</v>
      </c>
      <c r="AM2">
        <v>0</v>
      </c>
      <c r="AN2">
        <v>0</v>
      </c>
      <c r="AO2">
        <v>0</v>
      </c>
      <c r="AP2">
        <v>0</v>
      </c>
      <c r="AQ2">
        <v>7</v>
      </c>
      <c r="AR2">
        <v>0</v>
      </c>
      <c r="AS2">
        <v>7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7</v>
      </c>
      <c r="BG2">
        <v>0</v>
      </c>
      <c r="BH2">
        <v>0</v>
      </c>
      <c r="BI2">
        <v>0</v>
      </c>
      <c r="BJ2">
        <v>0</v>
      </c>
      <c r="BK2">
        <v>1</v>
      </c>
      <c r="BL2">
        <v>0</v>
      </c>
      <c r="BM2">
        <v>0</v>
      </c>
      <c r="BN2">
        <v>0</v>
      </c>
      <c r="BO2">
        <v>0</v>
      </c>
      <c r="BP2">
        <v>2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5</v>
      </c>
      <c r="CJ2">
        <v>0</v>
      </c>
    </row>
    <row r="3" spans="1:88" x14ac:dyDescent="0.25">
      <c r="A3" t="str">
        <f t="shared" ref="A3:A23" si="0">CONCATENATE(C3,".",D3,".",E3)</f>
        <v>A.2.UB</v>
      </c>
      <c r="B3" t="str">
        <f t="shared" ref="B3:B23" si="1">CONCATENATE(C3,".",D3)</f>
        <v>A.2</v>
      </c>
      <c r="C3" t="s">
        <v>76</v>
      </c>
      <c r="D3">
        <v>2</v>
      </c>
      <c r="E3" t="s">
        <v>78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</v>
      </c>
      <c r="U3">
        <v>5</v>
      </c>
      <c r="V3">
        <v>0</v>
      </c>
      <c r="W3">
        <v>0</v>
      </c>
      <c r="X3">
        <v>8</v>
      </c>
      <c r="Y3">
        <v>8</v>
      </c>
      <c r="Z3">
        <v>0</v>
      </c>
      <c r="AA3">
        <v>0</v>
      </c>
      <c r="AB3">
        <v>6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5</v>
      </c>
      <c r="AM3">
        <v>0</v>
      </c>
      <c r="AN3">
        <v>0</v>
      </c>
      <c r="AO3">
        <v>0</v>
      </c>
      <c r="AP3">
        <v>0</v>
      </c>
      <c r="AQ3">
        <v>8</v>
      </c>
      <c r="AR3">
        <v>0</v>
      </c>
      <c r="AS3">
        <v>7</v>
      </c>
      <c r="AT3">
        <v>4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0</v>
      </c>
      <c r="BB3">
        <v>0</v>
      </c>
      <c r="BC3">
        <v>0</v>
      </c>
      <c r="BD3">
        <v>0</v>
      </c>
      <c r="BE3">
        <v>0</v>
      </c>
      <c r="BF3">
        <v>2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4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1</v>
      </c>
      <c r="CF3">
        <v>0</v>
      </c>
      <c r="CG3">
        <v>0</v>
      </c>
      <c r="CH3">
        <v>1</v>
      </c>
      <c r="CI3">
        <v>7</v>
      </c>
      <c r="CJ3">
        <v>0</v>
      </c>
    </row>
    <row r="4" spans="1:88" x14ac:dyDescent="0.25">
      <c r="A4" t="str">
        <f t="shared" si="0"/>
        <v>A.3.B</v>
      </c>
      <c r="B4" t="str">
        <f t="shared" si="1"/>
        <v>A.3</v>
      </c>
      <c r="C4" t="s">
        <v>76</v>
      </c>
      <c r="D4">
        <v>3</v>
      </c>
      <c r="E4" t="s">
        <v>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6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2</v>
      </c>
      <c r="W4">
        <v>0</v>
      </c>
      <c r="X4">
        <v>8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3</v>
      </c>
      <c r="AK4">
        <v>0</v>
      </c>
      <c r="AL4">
        <v>0</v>
      </c>
      <c r="AM4">
        <v>0</v>
      </c>
      <c r="AN4">
        <v>0</v>
      </c>
      <c r="AO4">
        <v>0</v>
      </c>
      <c r="AP4">
        <v>2</v>
      </c>
      <c r="AQ4">
        <v>8</v>
      </c>
      <c r="AR4">
        <v>3</v>
      </c>
      <c r="AS4">
        <v>7</v>
      </c>
      <c r="AT4">
        <v>0</v>
      </c>
      <c r="AU4">
        <v>0</v>
      </c>
      <c r="AV4">
        <v>0</v>
      </c>
      <c r="AW4">
        <v>1</v>
      </c>
      <c r="AX4">
        <v>0</v>
      </c>
      <c r="AY4">
        <v>0</v>
      </c>
      <c r="AZ4">
        <v>1</v>
      </c>
      <c r="BA4">
        <v>1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3</v>
      </c>
      <c r="BK4">
        <v>0</v>
      </c>
      <c r="BL4">
        <v>2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1</v>
      </c>
      <c r="CG4">
        <v>0</v>
      </c>
      <c r="CH4">
        <v>1</v>
      </c>
      <c r="CI4">
        <v>2</v>
      </c>
      <c r="CJ4">
        <v>0</v>
      </c>
    </row>
    <row r="5" spans="1:88" x14ac:dyDescent="0.25">
      <c r="A5" t="str">
        <f t="shared" si="0"/>
        <v>A.3.UB</v>
      </c>
      <c r="B5" t="str">
        <f t="shared" si="1"/>
        <v>A.3</v>
      </c>
      <c r="C5" t="s">
        <v>76</v>
      </c>
      <c r="D5">
        <v>3</v>
      </c>
      <c r="E5" t="s">
        <v>78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4</v>
      </c>
      <c r="V5">
        <v>0</v>
      </c>
      <c r="W5">
        <v>0</v>
      </c>
      <c r="X5">
        <v>8</v>
      </c>
      <c r="Y5">
        <v>2</v>
      </c>
      <c r="Z5">
        <v>0</v>
      </c>
      <c r="AA5">
        <v>0</v>
      </c>
      <c r="AB5">
        <v>2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2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2</v>
      </c>
      <c r="AS5">
        <v>7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7</v>
      </c>
      <c r="BA5">
        <v>0</v>
      </c>
      <c r="BB5">
        <v>2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1</v>
      </c>
      <c r="BY5">
        <v>0</v>
      </c>
      <c r="BZ5">
        <v>0</v>
      </c>
      <c r="CA5">
        <v>1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1</v>
      </c>
      <c r="CI5">
        <v>1</v>
      </c>
      <c r="CJ5">
        <v>0</v>
      </c>
    </row>
    <row r="6" spans="1:88" x14ac:dyDescent="0.25">
      <c r="A6" t="str">
        <f t="shared" si="0"/>
        <v>B.1.B</v>
      </c>
      <c r="B6" t="str">
        <f t="shared" si="1"/>
        <v>B.1</v>
      </c>
      <c r="C6" t="s">
        <v>77</v>
      </c>
      <c r="D6">
        <v>1</v>
      </c>
      <c r="E6" t="s">
        <v>77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8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1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2</v>
      </c>
      <c r="CH6">
        <v>0</v>
      </c>
      <c r="CI6">
        <v>0</v>
      </c>
      <c r="CJ6">
        <v>5</v>
      </c>
    </row>
    <row r="7" spans="1:88" x14ac:dyDescent="0.25">
      <c r="A7" t="str">
        <f t="shared" si="0"/>
        <v>B.1.UB</v>
      </c>
      <c r="B7" t="str">
        <f t="shared" si="1"/>
        <v>B.1</v>
      </c>
      <c r="C7" t="s">
        <v>77</v>
      </c>
      <c r="D7">
        <v>1</v>
      </c>
      <c r="E7" t="s">
        <v>78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4</v>
      </c>
      <c r="Y7">
        <v>4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7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4</v>
      </c>
      <c r="BA7">
        <v>8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5</v>
      </c>
      <c r="BK7">
        <v>3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8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6</v>
      </c>
      <c r="CJ7">
        <v>6</v>
      </c>
    </row>
    <row r="8" spans="1:88" x14ac:dyDescent="0.25">
      <c r="A8" t="str">
        <f t="shared" si="0"/>
        <v>F.2.B</v>
      </c>
      <c r="B8" t="str">
        <f t="shared" si="1"/>
        <v>F.2</v>
      </c>
      <c r="C8" t="s">
        <v>79</v>
      </c>
      <c r="D8">
        <v>2</v>
      </c>
      <c r="E8" t="s">
        <v>77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8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7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0</v>
      </c>
      <c r="AX8">
        <v>0</v>
      </c>
      <c r="AY8">
        <v>0</v>
      </c>
      <c r="AZ8">
        <v>0</v>
      </c>
      <c r="BA8">
        <v>2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4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8</v>
      </c>
      <c r="CJ8">
        <v>8</v>
      </c>
    </row>
    <row r="9" spans="1:88" x14ac:dyDescent="0.25">
      <c r="A9" t="str">
        <f t="shared" si="0"/>
        <v>F.2.UB</v>
      </c>
      <c r="B9" t="str">
        <f t="shared" si="1"/>
        <v>F.2</v>
      </c>
      <c r="C9" t="s">
        <v>79</v>
      </c>
      <c r="D9">
        <v>2</v>
      </c>
      <c r="E9" t="s">
        <v>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8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6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0</v>
      </c>
      <c r="AX9">
        <v>0</v>
      </c>
      <c r="AY9">
        <v>2</v>
      </c>
      <c r="AZ9">
        <v>2</v>
      </c>
      <c r="BA9">
        <v>7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7</v>
      </c>
      <c r="BK9">
        <v>1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8</v>
      </c>
      <c r="CJ9">
        <v>8</v>
      </c>
    </row>
    <row r="10" spans="1:88" x14ac:dyDescent="0.25">
      <c r="A10" t="str">
        <f t="shared" si="0"/>
        <v>F.3.B</v>
      </c>
      <c r="B10" t="str">
        <f t="shared" si="1"/>
        <v>F.3</v>
      </c>
      <c r="C10" t="s">
        <v>79</v>
      </c>
      <c r="D10">
        <v>3</v>
      </c>
      <c r="E10" t="s">
        <v>77</v>
      </c>
      <c r="F10">
        <v>0</v>
      </c>
      <c r="G10">
        <v>0</v>
      </c>
      <c r="H10">
        <v>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4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3</v>
      </c>
      <c r="AW10">
        <v>0</v>
      </c>
      <c r="AX10">
        <v>0</v>
      </c>
      <c r="AY10">
        <v>0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1</v>
      </c>
      <c r="CI10">
        <v>7</v>
      </c>
      <c r="CJ10">
        <v>8</v>
      </c>
    </row>
    <row r="11" spans="1:88" x14ac:dyDescent="0.25">
      <c r="A11" t="str">
        <f t="shared" si="0"/>
        <v>F.3.UB</v>
      </c>
      <c r="B11" t="str">
        <f t="shared" si="1"/>
        <v>F.3</v>
      </c>
      <c r="C11" t="s">
        <v>79</v>
      </c>
      <c r="D11">
        <v>3</v>
      </c>
      <c r="E11" t="s">
        <v>78</v>
      </c>
      <c r="F11">
        <v>0</v>
      </c>
      <c r="G11">
        <v>0</v>
      </c>
      <c r="H11">
        <v>1</v>
      </c>
      <c r="I11">
        <v>0</v>
      </c>
      <c r="J11">
        <v>0</v>
      </c>
      <c r="K11">
        <v>2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8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6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2</v>
      </c>
      <c r="AW11">
        <v>0</v>
      </c>
      <c r="AX11">
        <v>0</v>
      </c>
      <c r="AY11">
        <v>2</v>
      </c>
      <c r="AZ11">
        <v>2</v>
      </c>
      <c r="BA11">
        <v>8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7</v>
      </c>
      <c r="BK11">
        <v>3</v>
      </c>
      <c r="BL11">
        <v>0</v>
      </c>
      <c r="BM11">
        <v>0</v>
      </c>
      <c r="BN11">
        <v>0</v>
      </c>
      <c r="BO11">
        <v>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</v>
      </c>
      <c r="BW11">
        <v>0</v>
      </c>
      <c r="BX11">
        <v>1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8</v>
      </c>
      <c r="CJ11">
        <v>5</v>
      </c>
    </row>
    <row r="12" spans="1:88" x14ac:dyDescent="0.25">
      <c r="A12" t="str">
        <f t="shared" si="0"/>
        <v>M.1.B</v>
      </c>
      <c r="B12" t="str">
        <f t="shared" si="1"/>
        <v>M.1</v>
      </c>
      <c r="C12" t="s">
        <v>80</v>
      </c>
      <c r="D12">
        <v>1</v>
      </c>
      <c r="E12" t="s">
        <v>77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</v>
      </c>
      <c r="O12">
        <v>0</v>
      </c>
      <c r="P12">
        <v>0</v>
      </c>
      <c r="Q12">
        <v>0</v>
      </c>
      <c r="R12">
        <v>6</v>
      </c>
      <c r="S12">
        <v>0</v>
      </c>
      <c r="T12">
        <v>0</v>
      </c>
      <c r="U12">
        <v>0</v>
      </c>
      <c r="V12">
        <v>0</v>
      </c>
      <c r="W12">
        <v>8</v>
      </c>
      <c r="X12">
        <v>8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3</v>
      </c>
      <c r="AG12">
        <v>0</v>
      </c>
      <c r="AH12">
        <v>0</v>
      </c>
      <c r="AI12">
        <v>1</v>
      </c>
      <c r="AJ12">
        <v>6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6</v>
      </c>
      <c r="AR12">
        <v>4</v>
      </c>
      <c r="AS12">
        <v>1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2</v>
      </c>
      <c r="BA12">
        <v>0</v>
      </c>
      <c r="BB12">
        <v>0</v>
      </c>
      <c r="BC12">
        <v>0</v>
      </c>
      <c r="BD12">
        <v>4</v>
      </c>
      <c r="BE12">
        <v>0</v>
      </c>
      <c r="BF12">
        <v>7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</row>
    <row r="13" spans="1:88" x14ac:dyDescent="0.25">
      <c r="A13" t="str">
        <f t="shared" si="0"/>
        <v>M.1.UB</v>
      </c>
      <c r="B13" t="str">
        <f t="shared" si="1"/>
        <v>M.1</v>
      </c>
      <c r="C13" t="s">
        <v>80</v>
      </c>
      <c r="D13">
        <v>1</v>
      </c>
      <c r="E13" t="s">
        <v>78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4</v>
      </c>
      <c r="O13">
        <v>0</v>
      </c>
      <c r="P13">
        <v>0</v>
      </c>
      <c r="Q13">
        <v>0</v>
      </c>
      <c r="R13">
        <v>6</v>
      </c>
      <c r="S13">
        <v>1</v>
      </c>
      <c r="T13">
        <v>0</v>
      </c>
      <c r="U13">
        <v>0</v>
      </c>
      <c r="V13">
        <v>0</v>
      </c>
      <c r="W13">
        <v>0</v>
      </c>
      <c r="X13">
        <v>8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8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6</v>
      </c>
      <c r="AQ13">
        <v>6</v>
      </c>
      <c r="AR13">
        <v>3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6</v>
      </c>
      <c r="BA13">
        <v>0</v>
      </c>
      <c r="BB13">
        <v>0</v>
      </c>
      <c r="BC13">
        <v>0</v>
      </c>
      <c r="BD13">
        <v>5</v>
      </c>
      <c r="BE13">
        <v>0</v>
      </c>
      <c r="BF13">
        <v>7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1</v>
      </c>
      <c r="CI13">
        <v>2</v>
      </c>
      <c r="CJ13">
        <v>0</v>
      </c>
    </row>
    <row r="14" spans="1:88" x14ac:dyDescent="0.25">
      <c r="A14" t="str">
        <f t="shared" si="0"/>
        <v>M.2.B</v>
      </c>
      <c r="B14" t="str">
        <f t="shared" si="1"/>
        <v>M.2</v>
      </c>
      <c r="C14" t="s">
        <v>80</v>
      </c>
      <c r="D14">
        <v>2</v>
      </c>
      <c r="E14" t="s">
        <v>77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</v>
      </c>
      <c r="O14">
        <v>0</v>
      </c>
      <c r="P14">
        <v>0</v>
      </c>
      <c r="Q14">
        <v>0</v>
      </c>
      <c r="R14">
        <v>3</v>
      </c>
      <c r="S14">
        <v>0</v>
      </c>
      <c r="T14">
        <v>1</v>
      </c>
      <c r="U14">
        <v>0</v>
      </c>
      <c r="V14">
        <v>0</v>
      </c>
      <c r="W14">
        <v>7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1</v>
      </c>
      <c r="AG14">
        <v>0</v>
      </c>
      <c r="AH14">
        <v>1</v>
      </c>
      <c r="AI14">
        <v>1</v>
      </c>
      <c r="AJ14">
        <v>6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7</v>
      </c>
      <c r="AR14">
        <v>0</v>
      </c>
      <c r="AS14">
        <v>7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4</v>
      </c>
      <c r="BG14">
        <v>0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3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1</v>
      </c>
      <c r="CF14">
        <v>0</v>
      </c>
      <c r="CG14">
        <v>0</v>
      </c>
      <c r="CH14">
        <v>0</v>
      </c>
      <c r="CI14">
        <v>0</v>
      </c>
      <c r="CJ14">
        <v>0</v>
      </c>
    </row>
    <row r="15" spans="1:88" x14ac:dyDescent="0.25">
      <c r="A15" t="str">
        <f t="shared" si="0"/>
        <v>M.2.UB</v>
      </c>
      <c r="B15" t="str">
        <f t="shared" si="1"/>
        <v>M.2</v>
      </c>
      <c r="C15" t="s">
        <v>80</v>
      </c>
      <c r="D15">
        <v>2</v>
      </c>
      <c r="E15" t="s">
        <v>78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4</v>
      </c>
      <c r="O15">
        <v>0</v>
      </c>
      <c r="P15">
        <v>0</v>
      </c>
      <c r="Q15">
        <v>0</v>
      </c>
      <c r="R15">
        <v>4</v>
      </c>
      <c r="S15">
        <v>1</v>
      </c>
      <c r="T15">
        <v>1</v>
      </c>
      <c r="U15">
        <v>0</v>
      </c>
      <c r="V15">
        <v>0</v>
      </c>
      <c r="W15">
        <v>4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2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8</v>
      </c>
      <c r="AK15">
        <v>0</v>
      </c>
      <c r="AL15">
        <v>1</v>
      </c>
      <c r="AM15">
        <v>1</v>
      </c>
      <c r="AN15">
        <v>0</v>
      </c>
      <c r="AO15">
        <v>0</v>
      </c>
      <c r="AP15">
        <v>2</v>
      </c>
      <c r="AQ15">
        <v>7</v>
      </c>
      <c r="AR15">
        <v>1</v>
      </c>
      <c r="AS15">
        <v>8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4</v>
      </c>
      <c r="BA15">
        <v>0</v>
      </c>
      <c r="BB15">
        <v>0</v>
      </c>
      <c r="BC15">
        <v>0</v>
      </c>
      <c r="BD15">
        <v>3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5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</row>
    <row r="16" spans="1:88" x14ac:dyDescent="0.25">
      <c r="A16" t="str">
        <f t="shared" si="0"/>
        <v>S.1.B</v>
      </c>
      <c r="B16" t="str">
        <f t="shared" si="1"/>
        <v>S.1</v>
      </c>
      <c r="C16" t="s">
        <v>81</v>
      </c>
      <c r="D16">
        <v>1</v>
      </c>
      <c r="E16" t="s">
        <v>77</v>
      </c>
      <c r="F16">
        <v>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3</v>
      </c>
      <c r="V16">
        <v>0</v>
      </c>
      <c r="W16">
        <v>0</v>
      </c>
      <c r="X16">
        <v>0</v>
      </c>
      <c r="Y16">
        <v>8</v>
      </c>
      <c r="Z16">
        <v>0</v>
      </c>
      <c r="AA16">
        <v>0</v>
      </c>
      <c r="AB16">
        <v>2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6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8</v>
      </c>
      <c r="BG16">
        <v>7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5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1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</row>
    <row r="17" spans="1:88" x14ac:dyDescent="0.25">
      <c r="A17" t="str">
        <f t="shared" si="0"/>
        <v>S.1.UB</v>
      </c>
      <c r="B17" t="str">
        <f t="shared" si="1"/>
        <v>S.1</v>
      </c>
      <c r="C17" t="s">
        <v>81</v>
      </c>
      <c r="D17">
        <v>1</v>
      </c>
      <c r="E17" t="s">
        <v>78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3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6</v>
      </c>
      <c r="BA17">
        <v>0</v>
      </c>
      <c r="BB17">
        <v>1</v>
      </c>
      <c r="BC17">
        <v>0</v>
      </c>
      <c r="BD17">
        <v>0</v>
      </c>
      <c r="BE17">
        <v>0</v>
      </c>
      <c r="BF17">
        <v>8</v>
      </c>
      <c r="BG17">
        <v>8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2</v>
      </c>
      <c r="BZ17">
        <v>2</v>
      </c>
      <c r="CA17">
        <v>0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1</v>
      </c>
      <c r="CJ17">
        <v>0</v>
      </c>
    </row>
    <row r="18" spans="1:88" x14ac:dyDescent="0.25">
      <c r="A18" t="str">
        <f t="shared" si="0"/>
        <v>S.2.B</v>
      </c>
      <c r="B18" t="str">
        <f t="shared" si="1"/>
        <v>S.2</v>
      </c>
      <c r="C18" t="s">
        <v>81</v>
      </c>
      <c r="D18">
        <v>2</v>
      </c>
      <c r="E18" t="s">
        <v>77</v>
      </c>
      <c r="F18">
        <v>5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2</v>
      </c>
      <c r="O18">
        <v>0</v>
      </c>
      <c r="P18">
        <v>0</v>
      </c>
      <c r="Q18">
        <v>0</v>
      </c>
      <c r="R18">
        <v>0</v>
      </c>
      <c r="S18">
        <v>0</v>
      </c>
      <c r="T18">
        <v>6</v>
      </c>
      <c r="U18">
        <v>4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0</v>
      </c>
      <c r="AQ18">
        <v>0</v>
      </c>
      <c r="AR18">
        <v>6</v>
      </c>
      <c r="AS18">
        <v>0</v>
      </c>
      <c r="AT18">
        <v>0</v>
      </c>
      <c r="AU18">
        <v>2</v>
      </c>
      <c r="AV18">
        <v>0</v>
      </c>
      <c r="AW18">
        <v>0</v>
      </c>
      <c r="AX18">
        <v>0</v>
      </c>
      <c r="AY18">
        <v>0</v>
      </c>
      <c r="AZ18">
        <v>7</v>
      </c>
      <c r="BA18">
        <v>0</v>
      </c>
      <c r="BB18">
        <v>0</v>
      </c>
      <c r="BC18">
        <v>2</v>
      </c>
      <c r="BD18">
        <v>0</v>
      </c>
      <c r="BE18">
        <v>0</v>
      </c>
      <c r="BF18">
        <v>8</v>
      </c>
      <c r="BG18">
        <v>8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1</v>
      </c>
      <c r="BN18">
        <v>7</v>
      </c>
      <c r="BO18">
        <v>0</v>
      </c>
      <c r="BP18">
        <v>0</v>
      </c>
      <c r="BQ18">
        <v>1</v>
      </c>
      <c r="BR18">
        <v>0</v>
      </c>
      <c r="BS18">
        <v>2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1</v>
      </c>
      <c r="CF18">
        <v>3</v>
      </c>
      <c r="CG18">
        <v>0</v>
      </c>
      <c r="CH18">
        <v>1</v>
      </c>
      <c r="CI18">
        <v>3</v>
      </c>
      <c r="CJ18">
        <v>0</v>
      </c>
    </row>
    <row r="19" spans="1:88" x14ac:dyDescent="0.25">
      <c r="A19" t="str">
        <f t="shared" si="0"/>
        <v>S.2.UB</v>
      </c>
      <c r="B19" t="str">
        <f t="shared" si="1"/>
        <v>S.2</v>
      </c>
      <c r="C19" t="s">
        <v>81</v>
      </c>
      <c r="D19">
        <v>2</v>
      </c>
      <c r="E19" t="s">
        <v>78</v>
      </c>
      <c r="F19">
        <v>0</v>
      </c>
      <c r="G19">
        <v>0</v>
      </c>
      <c r="H19">
        <v>0</v>
      </c>
      <c r="I19">
        <v>2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2</v>
      </c>
      <c r="R19">
        <v>0</v>
      </c>
      <c r="S19">
        <v>0</v>
      </c>
      <c r="T19">
        <v>0</v>
      </c>
      <c r="U19">
        <v>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4</v>
      </c>
      <c r="AP19">
        <v>0</v>
      </c>
      <c r="AQ19">
        <v>0</v>
      </c>
      <c r="AR19">
        <v>1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8</v>
      </c>
      <c r="BG19">
        <v>8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4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1</v>
      </c>
      <c r="BV19">
        <v>0</v>
      </c>
      <c r="BW19">
        <v>5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1</v>
      </c>
      <c r="CD19">
        <v>1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</row>
    <row r="20" spans="1:88" x14ac:dyDescent="0.25">
      <c r="A20" t="str">
        <f t="shared" si="0"/>
        <v>W.1.B</v>
      </c>
      <c r="B20" t="str">
        <f t="shared" si="1"/>
        <v>W.1</v>
      </c>
      <c r="C20" t="s">
        <v>82</v>
      </c>
      <c r="D20">
        <v>1</v>
      </c>
      <c r="E20" t="s">
        <v>77</v>
      </c>
      <c r="F20">
        <v>0</v>
      </c>
      <c r="G20">
        <v>4</v>
      </c>
      <c r="H20">
        <v>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4</v>
      </c>
      <c r="X20">
        <v>8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6</v>
      </c>
      <c r="AK20">
        <v>0</v>
      </c>
      <c r="AL20">
        <v>2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7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3</v>
      </c>
      <c r="BN20">
        <v>0</v>
      </c>
      <c r="BO20">
        <v>1</v>
      </c>
      <c r="BP20">
        <v>0</v>
      </c>
      <c r="BQ20">
        <v>0</v>
      </c>
      <c r="BR20">
        <v>3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1</v>
      </c>
      <c r="CJ20">
        <v>0</v>
      </c>
    </row>
    <row r="21" spans="1:88" x14ac:dyDescent="0.25">
      <c r="A21" t="str">
        <f t="shared" si="0"/>
        <v>W.1.UB</v>
      </c>
      <c r="B21" t="str">
        <f t="shared" si="1"/>
        <v>W.1</v>
      </c>
      <c r="C21" t="s">
        <v>82</v>
      </c>
      <c r="D21">
        <v>1</v>
      </c>
      <c r="E21" t="s">
        <v>78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</v>
      </c>
      <c r="V21">
        <v>0</v>
      </c>
      <c r="W21">
        <v>0</v>
      </c>
      <c r="X21">
        <v>7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2</v>
      </c>
      <c r="AH21">
        <v>0</v>
      </c>
      <c r="AI21">
        <v>2</v>
      </c>
      <c r="AJ21">
        <v>7</v>
      </c>
      <c r="AK21">
        <v>0</v>
      </c>
      <c r="AL21">
        <v>7</v>
      </c>
      <c r="AM21">
        <v>0</v>
      </c>
      <c r="AN21">
        <v>0</v>
      </c>
      <c r="AO21">
        <v>0</v>
      </c>
      <c r="AP21">
        <v>4</v>
      </c>
      <c r="AQ21">
        <v>0</v>
      </c>
      <c r="AR21">
        <v>2</v>
      </c>
      <c r="AS21">
        <v>2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6</v>
      </c>
      <c r="BA21">
        <v>0</v>
      </c>
      <c r="BB21">
        <v>0</v>
      </c>
      <c r="BC21">
        <v>0</v>
      </c>
      <c r="BD21">
        <v>3</v>
      </c>
      <c r="BE21">
        <v>0</v>
      </c>
      <c r="BF21">
        <v>2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</v>
      </c>
      <c r="BU21">
        <v>0</v>
      </c>
      <c r="BV21">
        <v>0</v>
      </c>
      <c r="BW21">
        <v>0</v>
      </c>
      <c r="BX21">
        <v>2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1</v>
      </c>
      <c r="CI21">
        <v>2</v>
      </c>
      <c r="CJ21">
        <v>0</v>
      </c>
    </row>
    <row r="22" spans="1:88" x14ac:dyDescent="0.25">
      <c r="A22" t="str">
        <f t="shared" si="0"/>
        <v>W.2.B</v>
      </c>
      <c r="B22" t="str">
        <f t="shared" si="1"/>
        <v>W.2</v>
      </c>
      <c r="C22" t="s">
        <v>82</v>
      </c>
      <c r="D22">
        <v>2</v>
      </c>
      <c r="E22" t="s">
        <v>77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8</v>
      </c>
      <c r="X22">
        <v>8</v>
      </c>
      <c r="Y22">
        <v>1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7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7</v>
      </c>
      <c r="AR22">
        <v>0</v>
      </c>
      <c r="AS22">
        <v>8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4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7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</row>
    <row r="23" spans="1:88" x14ac:dyDescent="0.25">
      <c r="A23" t="str">
        <f t="shared" si="0"/>
        <v>W.2.UB</v>
      </c>
      <c r="B23" t="str">
        <f t="shared" si="1"/>
        <v>W.2</v>
      </c>
      <c r="C23" t="s">
        <v>82</v>
      </c>
      <c r="D23">
        <v>2</v>
      </c>
      <c r="E23" t="s">
        <v>78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</v>
      </c>
      <c r="V23">
        <v>0</v>
      </c>
      <c r="W23">
        <v>0</v>
      </c>
      <c r="X23">
        <v>8</v>
      </c>
      <c r="Y23">
        <v>3</v>
      </c>
      <c r="Z23">
        <v>1</v>
      </c>
      <c r="AA23">
        <v>1</v>
      </c>
      <c r="AB23">
        <v>0</v>
      </c>
      <c r="AC23">
        <v>0</v>
      </c>
      <c r="AD23">
        <v>3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</v>
      </c>
      <c r="AM23">
        <v>0</v>
      </c>
      <c r="AN23">
        <v>0</v>
      </c>
      <c r="AO23">
        <v>0</v>
      </c>
      <c r="AP23">
        <v>0</v>
      </c>
      <c r="AQ23">
        <v>7</v>
      </c>
      <c r="AR23">
        <v>0</v>
      </c>
      <c r="AS23">
        <v>8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3</v>
      </c>
      <c r="AZ23">
        <v>5</v>
      </c>
      <c r="BA23">
        <v>0</v>
      </c>
      <c r="BB23">
        <v>0</v>
      </c>
      <c r="BC23">
        <v>0</v>
      </c>
      <c r="BD23">
        <v>4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6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3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1</v>
      </c>
      <c r="CI23">
        <v>0</v>
      </c>
      <c r="CJ23">
        <v>0</v>
      </c>
    </row>
  </sheetData>
  <sortState xmlns:xlrd2="http://schemas.microsoft.com/office/spreadsheetml/2017/richdata2" ref="B2:CC23">
    <sortCondition ref="B2:B23"/>
    <sortCondition ref="C2:C23"/>
    <sortCondition ref="E2:E23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EA633-80EE-45AE-A67E-B1D7C5FF74C7}">
  <dimension ref="A1:F82"/>
  <sheetViews>
    <sheetView workbookViewId="0">
      <selection sqref="A1:F1"/>
    </sheetView>
  </sheetViews>
  <sheetFormatPr defaultRowHeight="15" x14ac:dyDescent="0.25"/>
  <sheetData>
    <row r="1" spans="1:6" s="5" customFormat="1" x14ac:dyDescent="0.25">
      <c r="A1" s="5" t="s">
        <v>132</v>
      </c>
      <c r="B1" s="5" t="s">
        <v>133</v>
      </c>
      <c r="C1" s="5" t="s">
        <v>134</v>
      </c>
      <c r="D1" s="5" t="s">
        <v>135</v>
      </c>
      <c r="E1" s="5" t="s">
        <v>136</v>
      </c>
      <c r="F1" s="5" t="s">
        <v>137</v>
      </c>
    </row>
    <row r="2" spans="1:6" x14ac:dyDescent="0.25">
      <c r="A2" t="s">
        <v>0</v>
      </c>
      <c r="B2" t="s">
        <v>138</v>
      </c>
      <c r="C2" t="s">
        <v>139</v>
      </c>
      <c r="D2" t="s">
        <v>117</v>
      </c>
      <c r="E2" t="s">
        <v>117</v>
      </c>
    </row>
    <row r="3" spans="1:6" x14ac:dyDescent="0.25">
      <c r="A3" t="s">
        <v>1</v>
      </c>
      <c r="B3" t="s">
        <v>130</v>
      </c>
      <c r="C3" t="s">
        <v>130</v>
      </c>
      <c r="D3" t="s">
        <v>130</v>
      </c>
      <c r="E3" t="s">
        <v>1</v>
      </c>
    </row>
    <row r="4" spans="1:6" x14ac:dyDescent="0.25">
      <c r="A4" t="s">
        <v>2</v>
      </c>
      <c r="B4" t="s">
        <v>140</v>
      </c>
      <c r="C4" t="s">
        <v>141</v>
      </c>
      <c r="D4" t="s">
        <v>123</v>
      </c>
      <c r="E4" t="s">
        <v>142</v>
      </c>
    </row>
    <row r="5" spans="1:6" x14ac:dyDescent="0.25">
      <c r="A5" t="s">
        <v>3</v>
      </c>
      <c r="B5" t="s">
        <v>140</v>
      </c>
      <c r="C5" t="s">
        <v>130</v>
      </c>
      <c r="D5" t="s">
        <v>123</v>
      </c>
      <c r="E5" t="s">
        <v>142</v>
      </c>
    </row>
    <row r="6" spans="1:6" x14ac:dyDescent="0.25">
      <c r="A6" t="s">
        <v>4</v>
      </c>
      <c r="B6" t="s">
        <v>130</v>
      </c>
      <c r="C6" t="s">
        <v>130</v>
      </c>
      <c r="D6" t="s">
        <v>4</v>
      </c>
      <c r="E6" t="s">
        <v>4</v>
      </c>
    </row>
    <row r="7" spans="1:6" x14ac:dyDescent="0.25">
      <c r="A7" t="s">
        <v>5</v>
      </c>
      <c r="B7" t="s">
        <v>143</v>
      </c>
      <c r="C7" t="s">
        <v>144</v>
      </c>
      <c r="D7" t="s">
        <v>124</v>
      </c>
      <c r="E7" t="s">
        <v>1</v>
      </c>
    </row>
    <row r="8" spans="1:6" x14ac:dyDescent="0.25">
      <c r="A8" t="s">
        <v>6</v>
      </c>
      <c r="B8" t="s">
        <v>145</v>
      </c>
      <c r="C8" t="s">
        <v>146</v>
      </c>
      <c r="D8" t="s">
        <v>111</v>
      </c>
      <c r="E8" t="s">
        <v>1</v>
      </c>
    </row>
    <row r="9" spans="1:6" x14ac:dyDescent="0.25">
      <c r="A9" t="s">
        <v>7</v>
      </c>
      <c r="B9" t="s">
        <v>147</v>
      </c>
      <c r="C9" t="s">
        <v>148</v>
      </c>
      <c r="D9" t="s">
        <v>110</v>
      </c>
      <c r="E9" t="s">
        <v>149</v>
      </c>
    </row>
    <row r="10" spans="1:6" x14ac:dyDescent="0.25">
      <c r="A10" t="s">
        <v>8</v>
      </c>
      <c r="B10" t="s">
        <v>130</v>
      </c>
      <c r="C10" t="s">
        <v>130</v>
      </c>
      <c r="D10" t="s">
        <v>130</v>
      </c>
      <c r="E10" t="s">
        <v>130</v>
      </c>
    </row>
    <row r="11" spans="1:6" x14ac:dyDescent="0.25">
      <c r="A11" t="s">
        <v>9</v>
      </c>
      <c r="B11" t="s">
        <v>150</v>
      </c>
      <c r="C11" t="s">
        <v>151</v>
      </c>
      <c r="D11" t="s">
        <v>115</v>
      </c>
      <c r="E11" t="s">
        <v>1</v>
      </c>
    </row>
    <row r="12" spans="1:6" x14ac:dyDescent="0.25">
      <c r="A12" t="s">
        <v>10</v>
      </c>
      <c r="B12" t="s">
        <v>152</v>
      </c>
      <c r="C12" t="s">
        <v>153</v>
      </c>
      <c r="D12" t="s">
        <v>113</v>
      </c>
      <c r="E12" t="s">
        <v>154</v>
      </c>
    </row>
    <row r="13" spans="1:6" x14ac:dyDescent="0.25">
      <c r="A13" t="s">
        <v>11</v>
      </c>
      <c r="B13" t="s">
        <v>155</v>
      </c>
      <c r="C13" t="s">
        <v>156</v>
      </c>
      <c r="D13" t="s">
        <v>113</v>
      </c>
      <c r="E13" t="s">
        <v>154</v>
      </c>
    </row>
    <row r="14" spans="1:6" x14ac:dyDescent="0.25">
      <c r="A14" t="s">
        <v>12</v>
      </c>
      <c r="B14" t="s">
        <v>150</v>
      </c>
      <c r="C14" t="s">
        <v>157</v>
      </c>
      <c r="D14" t="s">
        <v>115</v>
      </c>
      <c r="E14" t="s">
        <v>1</v>
      </c>
    </row>
    <row r="15" spans="1:6" x14ac:dyDescent="0.25">
      <c r="A15" t="s">
        <v>13</v>
      </c>
      <c r="B15" t="s">
        <v>150</v>
      </c>
      <c r="C15" t="s">
        <v>158</v>
      </c>
      <c r="D15" t="s">
        <v>115</v>
      </c>
      <c r="E15" t="s">
        <v>1</v>
      </c>
    </row>
    <row r="16" spans="1:6" x14ac:dyDescent="0.25">
      <c r="A16" t="s">
        <v>14</v>
      </c>
      <c r="B16" t="s">
        <v>150</v>
      </c>
      <c r="C16" t="s">
        <v>159</v>
      </c>
      <c r="D16" t="s">
        <v>115</v>
      </c>
      <c r="E16" t="s">
        <v>1</v>
      </c>
    </row>
    <row r="17" spans="1:5" x14ac:dyDescent="0.25">
      <c r="A17" t="s">
        <v>15</v>
      </c>
      <c r="B17" t="s">
        <v>160</v>
      </c>
      <c r="C17" t="s">
        <v>161</v>
      </c>
      <c r="D17" t="s">
        <v>120</v>
      </c>
      <c r="E17" t="s">
        <v>47</v>
      </c>
    </row>
    <row r="18" spans="1:5" x14ac:dyDescent="0.25">
      <c r="A18" t="s">
        <v>16</v>
      </c>
      <c r="B18" t="s">
        <v>155</v>
      </c>
      <c r="C18" t="s">
        <v>162</v>
      </c>
      <c r="D18" t="s">
        <v>113</v>
      </c>
      <c r="E18" t="s">
        <v>154</v>
      </c>
    </row>
    <row r="19" spans="1:5" x14ac:dyDescent="0.25">
      <c r="A19" t="s">
        <v>17</v>
      </c>
      <c r="B19" t="s">
        <v>150</v>
      </c>
      <c r="C19" t="s">
        <v>163</v>
      </c>
      <c r="D19" t="s">
        <v>115</v>
      </c>
      <c r="E19" t="s">
        <v>1</v>
      </c>
    </row>
    <row r="20" spans="1:5" x14ac:dyDescent="0.25">
      <c r="A20" t="s">
        <v>18</v>
      </c>
      <c r="B20" t="s">
        <v>164</v>
      </c>
      <c r="C20" t="s">
        <v>165</v>
      </c>
      <c r="D20" t="s">
        <v>116</v>
      </c>
      <c r="E20" t="s">
        <v>166</v>
      </c>
    </row>
    <row r="21" spans="1:5" x14ac:dyDescent="0.25">
      <c r="A21" t="s">
        <v>19</v>
      </c>
      <c r="B21" t="s">
        <v>167</v>
      </c>
      <c r="C21" t="s">
        <v>168</v>
      </c>
      <c r="D21" t="s">
        <v>120</v>
      </c>
      <c r="E21" t="s">
        <v>47</v>
      </c>
    </row>
    <row r="22" spans="1:5" x14ac:dyDescent="0.25">
      <c r="A22" t="s">
        <v>101</v>
      </c>
      <c r="B22" t="s">
        <v>167</v>
      </c>
      <c r="C22" t="s">
        <v>169</v>
      </c>
      <c r="D22" t="s">
        <v>120</v>
      </c>
      <c r="E22" t="s">
        <v>47</v>
      </c>
    </row>
    <row r="23" spans="1:5" x14ac:dyDescent="0.25">
      <c r="A23" t="s">
        <v>20</v>
      </c>
      <c r="B23" t="s">
        <v>170</v>
      </c>
      <c r="C23" t="s">
        <v>171</v>
      </c>
      <c r="D23" t="s">
        <v>120</v>
      </c>
      <c r="E23" t="s">
        <v>47</v>
      </c>
    </row>
    <row r="24" spans="1:5" x14ac:dyDescent="0.25">
      <c r="A24" t="s">
        <v>21</v>
      </c>
      <c r="B24" t="s">
        <v>172</v>
      </c>
      <c r="C24" t="s">
        <v>173</v>
      </c>
      <c r="D24" t="s">
        <v>120</v>
      </c>
      <c r="E24" t="s">
        <v>47</v>
      </c>
    </row>
    <row r="25" spans="1:5" x14ac:dyDescent="0.25">
      <c r="A25" t="s">
        <v>22</v>
      </c>
      <c r="B25" t="s">
        <v>167</v>
      </c>
      <c r="C25" t="s">
        <v>130</v>
      </c>
      <c r="D25" t="s">
        <v>120</v>
      </c>
      <c r="E25" t="s">
        <v>47</v>
      </c>
    </row>
    <row r="26" spans="1:5" x14ac:dyDescent="0.25">
      <c r="A26" t="s">
        <v>23</v>
      </c>
      <c r="B26" t="s">
        <v>172</v>
      </c>
      <c r="C26" t="s">
        <v>130</v>
      </c>
      <c r="D26" t="s">
        <v>120</v>
      </c>
      <c r="E26" t="s">
        <v>47</v>
      </c>
    </row>
    <row r="27" spans="1:5" x14ac:dyDescent="0.25">
      <c r="A27" t="s">
        <v>24</v>
      </c>
      <c r="B27" t="s">
        <v>174</v>
      </c>
      <c r="C27" t="s">
        <v>175</v>
      </c>
      <c r="D27" t="s">
        <v>115</v>
      </c>
      <c r="E27" t="s">
        <v>1</v>
      </c>
    </row>
    <row r="28" spans="1:5" x14ac:dyDescent="0.25">
      <c r="A28" t="s">
        <v>25</v>
      </c>
      <c r="B28" t="s">
        <v>176</v>
      </c>
      <c r="C28" t="s">
        <v>130</v>
      </c>
      <c r="D28" t="s">
        <v>112</v>
      </c>
      <c r="E28" t="s">
        <v>177</v>
      </c>
    </row>
    <row r="29" spans="1:5" x14ac:dyDescent="0.25">
      <c r="A29" t="s">
        <v>26</v>
      </c>
      <c r="B29" t="s">
        <v>176</v>
      </c>
      <c r="C29" t="s">
        <v>178</v>
      </c>
      <c r="D29" t="s">
        <v>112</v>
      </c>
      <c r="E29" t="s">
        <v>177</v>
      </c>
    </row>
    <row r="30" spans="1:5" x14ac:dyDescent="0.25">
      <c r="A30" t="s">
        <v>27</v>
      </c>
      <c r="B30" t="s">
        <v>176</v>
      </c>
      <c r="C30" t="s">
        <v>179</v>
      </c>
      <c r="D30" t="s">
        <v>112</v>
      </c>
      <c r="E30" t="s">
        <v>177</v>
      </c>
    </row>
    <row r="31" spans="1:5" x14ac:dyDescent="0.25">
      <c r="A31" t="s">
        <v>28</v>
      </c>
      <c r="B31" t="s">
        <v>180</v>
      </c>
      <c r="C31" t="s">
        <v>181</v>
      </c>
      <c r="D31" t="s">
        <v>123</v>
      </c>
      <c r="E31" t="s">
        <v>142</v>
      </c>
    </row>
    <row r="32" spans="1:5" x14ac:dyDescent="0.25">
      <c r="A32" t="s">
        <v>29</v>
      </c>
      <c r="B32" t="s">
        <v>182</v>
      </c>
      <c r="C32" t="s">
        <v>183</v>
      </c>
      <c r="D32" t="s">
        <v>120</v>
      </c>
      <c r="E32" t="s">
        <v>47</v>
      </c>
    </row>
    <row r="33" spans="1:5" x14ac:dyDescent="0.25">
      <c r="A33" t="s">
        <v>30</v>
      </c>
      <c r="B33" t="s">
        <v>184</v>
      </c>
      <c r="C33" t="s">
        <v>185</v>
      </c>
      <c r="D33" t="s">
        <v>115</v>
      </c>
      <c r="E33" t="s">
        <v>1</v>
      </c>
    </row>
    <row r="34" spans="1:5" x14ac:dyDescent="0.25">
      <c r="A34" t="s">
        <v>31</v>
      </c>
      <c r="B34" t="s">
        <v>186</v>
      </c>
      <c r="C34" t="s">
        <v>187</v>
      </c>
      <c r="D34" t="s">
        <v>108</v>
      </c>
      <c r="E34" t="s">
        <v>149</v>
      </c>
    </row>
    <row r="35" spans="1:5" x14ac:dyDescent="0.25">
      <c r="A35" t="s">
        <v>32</v>
      </c>
      <c r="B35" t="s">
        <v>186</v>
      </c>
      <c r="C35" t="s">
        <v>130</v>
      </c>
      <c r="D35" t="s">
        <v>108</v>
      </c>
      <c r="E35" t="s">
        <v>149</v>
      </c>
    </row>
    <row r="36" spans="1:5" x14ac:dyDescent="0.25">
      <c r="A36" t="s">
        <v>33</v>
      </c>
      <c r="B36" t="s">
        <v>188</v>
      </c>
      <c r="C36" t="s">
        <v>189</v>
      </c>
      <c r="D36" t="s">
        <v>123</v>
      </c>
      <c r="E36" t="s">
        <v>142</v>
      </c>
    </row>
    <row r="37" spans="1:5" x14ac:dyDescent="0.25">
      <c r="A37" t="s">
        <v>34</v>
      </c>
      <c r="B37" t="s">
        <v>190</v>
      </c>
      <c r="C37" t="s">
        <v>191</v>
      </c>
      <c r="D37" t="s">
        <v>116</v>
      </c>
      <c r="E37" t="s">
        <v>166</v>
      </c>
    </row>
    <row r="38" spans="1:5" x14ac:dyDescent="0.25">
      <c r="A38" t="s">
        <v>35</v>
      </c>
      <c r="B38" t="s">
        <v>192</v>
      </c>
      <c r="C38" t="s">
        <v>193</v>
      </c>
      <c r="D38" t="s">
        <v>113</v>
      </c>
      <c r="E38" t="s">
        <v>154</v>
      </c>
    </row>
    <row r="39" spans="1:5" x14ac:dyDescent="0.25">
      <c r="A39" t="s">
        <v>36</v>
      </c>
      <c r="B39" t="s">
        <v>194</v>
      </c>
      <c r="C39" t="s">
        <v>195</v>
      </c>
      <c r="D39" t="s">
        <v>116</v>
      </c>
      <c r="E39" t="s">
        <v>166</v>
      </c>
    </row>
    <row r="40" spans="1:5" x14ac:dyDescent="0.25">
      <c r="A40" t="s">
        <v>37</v>
      </c>
      <c r="B40" t="s">
        <v>192</v>
      </c>
      <c r="C40" t="s">
        <v>196</v>
      </c>
      <c r="D40" t="s">
        <v>113</v>
      </c>
      <c r="E40" t="s">
        <v>154</v>
      </c>
    </row>
    <row r="41" spans="1:5" x14ac:dyDescent="0.25">
      <c r="A41" t="s">
        <v>38</v>
      </c>
      <c r="B41" t="s">
        <v>197</v>
      </c>
      <c r="C41" t="s">
        <v>198</v>
      </c>
      <c r="D41" t="s">
        <v>123</v>
      </c>
      <c r="E41" t="s">
        <v>142</v>
      </c>
    </row>
    <row r="42" spans="1:5" x14ac:dyDescent="0.25">
      <c r="A42" t="s">
        <v>39</v>
      </c>
      <c r="B42" t="s">
        <v>199</v>
      </c>
      <c r="C42" t="s">
        <v>200</v>
      </c>
      <c r="D42" t="s">
        <v>117</v>
      </c>
      <c r="E42" t="s">
        <v>117</v>
      </c>
    </row>
    <row r="43" spans="1:5" x14ac:dyDescent="0.25">
      <c r="A43" t="s">
        <v>40</v>
      </c>
      <c r="B43" t="s">
        <v>199</v>
      </c>
      <c r="C43" t="s">
        <v>201</v>
      </c>
      <c r="D43" t="s">
        <v>117</v>
      </c>
      <c r="E43" t="s">
        <v>117</v>
      </c>
    </row>
    <row r="44" spans="1:5" x14ac:dyDescent="0.25">
      <c r="A44" t="s">
        <v>41</v>
      </c>
      <c r="B44" t="s">
        <v>130</v>
      </c>
      <c r="C44" t="s">
        <v>130</v>
      </c>
      <c r="D44" t="s">
        <v>130</v>
      </c>
      <c r="E44" t="s">
        <v>130</v>
      </c>
    </row>
    <row r="45" spans="1:5" x14ac:dyDescent="0.25">
      <c r="A45" t="s">
        <v>42</v>
      </c>
      <c r="B45" t="s">
        <v>202</v>
      </c>
      <c r="C45" t="s">
        <v>203</v>
      </c>
      <c r="D45" t="s">
        <v>118</v>
      </c>
      <c r="E45" t="s">
        <v>204</v>
      </c>
    </row>
    <row r="46" spans="1:5" x14ac:dyDescent="0.25">
      <c r="A46" t="s">
        <v>43</v>
      </c>
      <c r="B46" t="s">
        <v>202</v>
      </c>
      <c r="C46" t="s">
        <v>205</v>
      </c>
      <c r="D46" t="s">
        <v>118</v>
      </c>
      <c r="E46" t="s">
        <v>204</v>
      </c>
    </row>
    <row r="47" spans="1:5" x14ac:dyDescent="0.25">
      <c r="A47" t="s">
        <v>44</v>
      </c>
      <c r="B47" t="s">
        <v>206</v>
      </c>
      <c r="C47" t="s">
        <v>207</v>
      </c>
      <c r="D47" t="s">
        <v>118</v>
      </c>
      <c r="E47" t="s">
        <v>204</v>
      </c>
    </row>
    <row r="48" spans="1:5" x14ac:dyDescent="0.25">
      <c r="A48" t="s">
        <v>208</v>
      </c>
      <c r="B48" t="s">
        <v>209</v>
      </c>
      <c r="C48" t="s">
        <v>210</v>
      </c>
      <c r="D48" t="s">
        <v>119</v>
      </c>
      <c r="E48" t="s">
        <v>211</v>
      </c>
    </row>
    <row r="49" spans="1:5" x14ac:dyDescent="0.25">
      <c r="A49" t="s">
        <v>45</v>
      </c>
      <c r="B49" t="s">
        <v>212</v>
      </c>
      <c r="C49" t="s">
        <v>213</v>
      </c>
      <c r="D49" t="s">
        <v>118</v>
      </c>
      <c r="E49" t="s">
        <v>204</v>
      </c>
    </row>
    <row r="50" spans="1:5" x14ac:dyDescent="0.25">
      <c r="A50" t="s">
        <v>46</v>
      </c>
      <c r="B50" t="s">
        <v>214</v>
      </c>
      <c r="C50" t="s">
        <v>215</v>
      </c>
      <c r="D50" t="s">
        <v>115</v>
      </c>
      <c r="E50" t="s">
        <v>1</v>
      </c>
    </row>
    <row r="51" spans="1:5" x14ac:dyDescent="0.25">
      <c r="A51" t="s">
        <v>47</v>
      </c>
      <c r="B51" t="s">
        <v>130</v>
      </c>
      <c r="C51" t="s">
        <v>130</v>
      </c>
      <c r="D51" t="s">
        <v>120</v>
      </c>
      <c r="E51" t="s">
        <v>47</v>
      </c>
    </row>
    <row r="52" spans="1:5" x14ac:dyDescent="0.25">
      <c r="A52" t="s">
        <v>48</v>
      </c>
      <c r="B52" t="s">
        <v>216</v>
      </c>
      <c r="C52" t="s">
        <v>217</v>
      </c>
      <c r="D52" t="s">
        <v>119</v>
      </c>
      <c r="E52" t="s">
        <v>211</v>
      </c>
    </row>
    <row r="53" spans="1:5" x14ac:dyDescent="0.25">
      <c r="A53" t="s">
        <v>49</v>
      </c>
      <c r="B53" t="s">
        <v>218</v>
      </c>
      <c r="C53" t="s">
        <v>219</v>
      </c>
      <c r="D53" t="s">
        <v>123</v>
      </c>
      <c r="E53" t="s">
        <v>142</v>
      </c>
    </row>
    <row r="54" spans="1:5" x14ac:dyDescent="0.25">
      <c r="A54" t="s">
        <v>50</v>
      </c>
      <c r="B54" t="s">
        <v>220</v>
      </c>
      <c r="C54" t="s">
        <v>221</v>
      </c>
      <c r="D54" t="s">
        <v>121</v>
      </c>
      <c r="E54" t="s">
        <v>166</v>
      </c>
    </row>
    <row r="55" spans="1:5" x14ac:dyDescent="0.25">
      <c r="A55" t="s">
        <v>51</v>
      </c>
      <c r="B55" t="s">
        <v>222</v>
      </c>
      <c r="C55" t="s">
        <v>223</v>
      </c>
      <c r="D55" t="s">
        <v>109</v>
      </c>
      <c r="E55" t="s">
        <v>224</v>
      </c>
    </row>
    <row r="56" spans="1:5" x14ac:dyDescent="0.25">
      <c r="A56" t="s">
        <v>52</v>
      </c>
      <c r="B56" t="s">
        <v>225</v>
      </c>
      <c r="C56" t="s">
        <v>226</v>
      </c>
      <c r="D56" t="s">
        <v>118</v>
      </c>
      <c r="E56" t="s">
        <v>204</v>
      </c>
    </row>
    <row r="57" spans="1:5" x14ac:dyDescent="0.25">
      <c r="A57" t="s">
        <v>53</v>
      </c>
      <c r="B57" t="s">
        <v>227</v>
      </c>
      <c r="C57" t="s">
        <v>144</v>
      </c>
      <c r="D57" t="s">
        <v>118</v>
      </c>
      <c r="E57" t="s">
        <v>204</v>
      </c>
    </row>
    <row r="58" spans="1:5" x14ac:dyDescent="0.25">
      <c r="A58" t="s">
        <v>54</v>
      </c>
      <c r="B58" t="s">
        <v>228</v>
      </c>
      <c r="C58" t="s">
        <v>229</v>
      </c>
      <c r="D58" t="s">
        <v>124</v>
      </c>
      <c r="E58" t="s">
        <v>1</v>
      </c>
    </row>
    <row r="59" spans="1:5" x14ac:dyDescent="0.25">
      <c r="A59" t="s">
        <v>230</v>
      </c>
      <c r="B59" t="s">
        <v>231</v>
      </c>
      <c r="C59" t="s">
        <v>232</v>
      </c>
      <c r="D59" t="s">
        <v>124</v>
      </c>
      <c r="E59" t="s">
        <v>1</v>
      </c>
    </row>
    <row r="60" spans="1:5" x14ac:dyDescent="0.25">
      <c r="A60" t="s">
        <v>56</v>
      </c>
      <c r="B60" t="s">
        <v>233</v>
      </c>
      <c r="C60" t="s">
        <v>234</v>
      </c>
      <c r="D60" t="s">
        <v>117</v>
      </c>
      <c r="E60" t="s">
        <v>117</v>
      </c>
    </row>
    <row r="61" spans="1:5" x14ac:dyDescent="0.25">
      <c r="A61" t="s">
        <v>57</v>
      </c>
      <c r="B61" t="s">
        <v>235</v>
      </c>
      <c r="C61" t="s">
        <v>236</v>
      </c>
      <c r="D61" t="s">
        <v>124</v>
      </c>
      <c r="E61" t="s">
        <v>1</v>
      </c>
    </row>
    <row r="62" spans="1:5" x14ac:dyDescent="0.25">
      <c r="A62" t="s">
        <v>58</v>
      </c>
      <c r="B62" t="s">
        <v>235</v>
      </c>
      <c r="C62" t="s">
        <v>237</v>
      </c>
      <c r="D62" t="s">
        <v>124</v>
      </c>
      <c r="E62" t="s">
        <v>1</v>
      </c>
    </row>
    <row r="63" spans="1:5" x14ac:dyDescent="0.25">
      <c r="A63" t="s">
        <v>59</v>
      </c>
      <c r="B63" t="s">
        <v>238</v>
      </c>
      <c r="C63" t="s">
        <v>239</v>
      </c>
      <c r="D63" t="s">
        <v>111</v>
      </c>
      <c r="E63" t="s">
        <v>1</v>
      </c>
    </row>
    <row r="64" spans="1:5" x14ac:dyDescent="0.25">
      <c r="A64" t="s">
        <v>105</v>
      </c>
      <c r="B64" t="s">
        <v>235</v>
      </c>
      <c r="C64" t="s">
        <v>240</v>
      </c>
      <c r="D64" t="s">
        <v>124</v>
      </c>
      <c r="E64" t="s">
        <v>1</v>
      </c>
    </row>
    <row r="65" spans="1:6" x14ac:dyDescent="0.25">
      <c r="A65" t="s">
        <v>60</v>
      </c>
      <c r="B65" t="s">
        <v>241</v>
      </c>
      <c r="C65" t="s">
        <v>242</v>
      </c>
      <c r="D65" t="s">
        <v>117</v>
      </c>
      <c r="E65" t="s">
        <v>117</v>
      </c>
    </row>
    <row r="66" spans="1:6" x14ac:dyDescent="0.25">
      <c r="A66" t="s">
        <v>106</v>
      </c>
      <c r="B66" t="s">
        <v>243</v>
      </c>
      <c r="C66" t="s">
        <v>244</v>
      </c>
      <c r="D66" t="s">
        <v>118</v>
      </c>
      <c r="E66" t="s">
        <v>204</v>
      </c>
    </row>
    <row r="67" spans="1:6" x14ac:dyDescent="0.25">
      <c r="A67" t="s">
        <v>61</v>
      </c>
      <c r="B67" t="s">
        <v>245</v>
      </c>
      <c r="C67" t="s">
        <v>246</v>
      </c>
      <c r="D67" t="s">
        <v>118</v>
      </c>
      <c r="E67" t="s">
        <v>204</v>
      </c>
    </row>
    <row r="68" spans="1:6" x14ac:dyDescent="0.25">
      <c r="A68" t="s">
        <v>62</v>
      </c>
      <c r="B68" t="s">
        <v>247</v>
      </c>
      <c r="C68" t="s">
        <v>248</v>
      </c>
      <c r="D68" t="s">
        <v>114</v>
      </c>
      <c r="E68" t="s">
        <v>114</v>
      </c>
    </row>
    <row r="69" spans="1:6" x14ac:dyDescent="0.25">
      <c r="A69" t="s">
        <v>63</v>
      </c>
      <c r="B69" t="s">
        <v>249</v>
      </c>
      <c r="C69" t="s">
        <v>250</v>
      </c>
      <c r="D69" t="s">
        <v>113</v>
      </c>
      <c r="E69" t="s">
        <v>154</v>
      </c>
    </row>
    <row r="70" spans="1:6" x14ac:dyDescent="0.25">
      <c r="A70" t="s">
        <v>64</v>
      </c>
      <c r="B70" t="s">
        <v>251</v>
      </c>
      <c r="C70" t="s">
        <v>210</v>
      </c>
      <c r="D70" t="s">
        <v>118</v>
      </c>
      <c r="E70" t="s">
        <v>204</v>
      </c>
    </row>
    <row r="71" spans="1:6" x14ac:dyDescent="0.25">
      <c r="A71" t="s">
        <v>65</v>
      </c>
      <c r="B71" t="s">
        <v>252</v>
      </c>
      <c r="C71" t="s">
        <v>253</v>
      </c>
      <c r="D71" t="s">
        <v>125</v>
      </c>
      <c r="E71" t="s">
        <v>252</v>
      </c>
      <c r="F71" t="s">
        <v>254</v>
      </c>
    </row>
    <row r="72" spans="1:6" x14ac:dyDescent="0.25">
      <c r="A72" t="s">
        <v>66</v>
      </c>
      <c r="B72" t="s">
        <v>252</v>
      </c>
      <c r="C72" t="s">
        <v>255</v>
      </c>
      <c r="D72" t="s">
        <v>125</v>
      </c>
      <c r="E72" t="s">
        <v>252</v>
      </c>
      <c r="F72" t="s">
        <v>256</v>
      </c>
    </row>
    <row r="73" spans="1:6" x14ac:dyDescent="0.25">
      <c r="A73" t="s">
        <v>67</v>
      </c>
      <c r="B73" t="s">
        <v>252</v>
      </c>
      <c r="C73" t="s">
        <v>257</v>
      </c>
      <c r="D73" t="s">
        <v>125</v>
      </c>
      <c r="E73" t="s">
        <v>252</v>
      </c>
      <c r="F73" t="s">
        <v>258</v>
      </c>
    </row>
    <row r="74" spans="1:6" x14ac:dyDescent="0.25">
      <c r="A74" t="s">
        <v>68</v>
      </c>
      <c r="B74" t="s">
        <v>252</v>
      </c>
      <c r="C74" t="s">
        <v>130</v>
      </c>
      <c r="D74" t="s">
        <v>125</v>
      </c>
      <c r="E74" t="s">
        <v>252</v>
      </c>
    </row>
    <row r="75" spans="1:6" x14ac:dyDescent="0.25">
      <c r="A75" t="s">
        <v>69</v>
      </c>
      <c r="B75" t="s">
        <v>252</v>
      </c>
      <c r="C75" t="s">
        <v>146</v>
      </c>
      <c r="D75" t="s">
        <v>125</v>
      </c>
      <c r="E75" t="s">
        <v>252</v>
      </c>
      <c r="F75" t="s">
        <v>259</v>
      </c>
    </row>
    <row r="76" spans="1:6" x14ac:dyDescent="0.25">
      <c r="A76" t="s">
        <v>107</v>
      </c>
      <c r="B76" t="s">
        <v>252</v>
      </c>
      <c r="C76" t="s">
        <v>260</v>
      </c>
      <c r="D76" t="s">
        <v>125</v>
      </c>
      <c r="E76" t="s">
        <v>252</v>
      </c>
      <c r="F76" t="s">
        <v>259</v>
      </c>
    </row>
    <row r="77" spans="1:6" x14ac:dyDescent="0.25">
      <c r="A77" t="s">
        <v>70</v>
      </c>
      <c r="B77" t="s">
        <v>252</v>
      </c>
      <c r="C77" t="s">
        <v>261</v>
      </c>
      <c r="D77" t="s">
        <v>125</v>
      </c>
      <c r="E77" t="s">
        <v>252</v>
      </c>
      <c r="F77" t="s">
        <v>258</v>
      </c>
    </row>
    <row r="78" spans="1:6" x14ac:dyDescent="0.25">
      <c r="A78" t="s">
        <v>71</v>
      </c>
      <c r="B78" t="s">
        <v>252</v>
      </c>
      <c r="C78" t="s">
        <v>262</v>
      </c>
      <c r="D78" t="s">
        <v>125</v>
      </c>
      <c r="E78" t="s">
        <v>252</v>
      </c>
      <c r="F78" t="s">
        <v>256</v>
      </c>
    </row>
    <row r="79" spans="1:6" x14ac:dyDescent="0.25">
      <c r="A79" t="s">
        <v>72</v>
      </c>
      <c r="B79" t="s">
        <v>263</v>
      </c>
      <c r="C79" t="s">
        <v>264</v>
      </c>
      <c r="D79" t="s">
        <v>265</v>
      </c>
      <c r="E79" t="s">
        <v>166</v>
      </c>
    </row>
    <row r="80" spans="1:6" x14ac:dyDescent="0.25">
      <c r="A80" t="s">
        <v>73</v>
      </c>
      <c r="B80" t="s">
        <v>130</v>
      </c>
      <c r="C80" t="s">
        <v>130</v>
      </c>
      <c r="D80" t="s">
        <v>130</v>
      </c>
      <c r="E80" t="s">
        <v>130</v>
      </c>
    </row>
    <row r="81" spans="1:5" x14ac:dyDescent="0.25">
      <c r="A81" t="s">
        <v>74</v>
      </c>
      <c r="B81" t="s">
        <v>266</v>
      </c>
      <c r="C81" t="s">
        <v>267</v>
      </c>
      <c r="D81" t="s">
        <v>126</v>
      </c>
      <c r="E81" t="s">
        <v>166</v>
      </c>
    </row>
    <row r="82" spans="1:5" x14ac:dyDescent="0.25">
      <c r="A82" t="s">
        <v>75</v>
      </c>
      <c r="B82" t="s">
        <v>266</v>
      </c>
      <c r="C82" t="s">
        <v>268</v>
      </c>
      <c r="D82" t="s">
        <v>126</v>
      </c>
      <c r="E82" t="s">
        <v>166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3"/>
  <sheetViews>
    <sheetView workbookViewId="0">
      <selection sqref="A1:F1"/>
    </sheetView>
  </sheetViews>
  <sheetFormatPr defaultRowHeight="15" x14ac:dyDescent="0.25"/>
  <sheetData>
    <row r="1" spans="1:26" x14ac:dyDescent="0.25">
      <c r="A1" t="s">
        <v>86</v>
      </c>
      <c r="B1" t="s">
        <v>100</v>
      </c>
      <c r="C1" t="s">
        <v>83</v>
      </c>
      <c r="D1" t="s">
        <v>84</v>
      </c>
      <c r="E1" t="s">
        <v>85</v>
      </c>
      <c r="F1" t="s">
        <v>108</v>
      </c>
      <c r="G1" t="s">
        <v>109</v>
      </c>
      <c r="H1" t="s">
        <v>4</v>
      </c>
      <c r="I1" t="s">
        <v>110</v>
      </c>
      <c r="J1" t="s">
        <v>111</v>
      </c>
      <c r="K1" t="s">
        <v>112</v>
      </c>
      <c r="L1" t="s">
        <v>113</v>
      </c>
      <c r="M1" t="s">
        <v>114</v>
      </c>
      <c r="N1" t="s">
        <v>115</v>
      </c>
      <c r="O1" t="s">
        <v>116</v>
      </c>
      <c r="P1" t="s">
        <v>131</v>
      </c>
      <c r="Q1" t="s">
        <v>117</v>
      </c>
      <c r="R1" t="s">
        <v>118</v>
      </c>
      <c r="S1" t="s">
        <v>119</v>
      </c>
      <c r="T1" t="s">
        <v>120</v>
      </c>
      <c r="U1" t="s">
        <v>121</v>
      </c>
      <c r="V1" t="s">
        <v>122</v>
      </c>
      <c r="W1" t="s">
        <v>123</v>
      </c>
      <c r="X1" t="s">
        <v>124</v>
      </c>
      <c r="Y1" t="s">
        <v>125</v>
      </c>
      <c r="Z1" t="s">
        <v>126</v>
      </c>
    </row>
    <row r="2" spans="1:26" x14ac:dyDescent="0.25">
      <c r="A2" t="str">
        <f>CONCATENATE(C2,".",D2,".",E2)</f>
        <v>A.2.B</v>
      </c>
      <c r="B2" t="str">
        <f>CONCATENATE(C2,".",D2)</f>
        <v>A.2</v>
      </c>
      <c r="C2" t="s">
        <v>76</v>
      </c>
      <c r="D2">
        <v>2</v>
      </c>
      <c r="E2" t="s">
        <v>77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7</v>
      </c>
      <c r="M2">
        <v>0</v>
      </c>
      <c r="N2">
        <v>8</v>
      </c>
      <c r="O2">
        <v>8</v>
      </c>
      <c r="P2">
        <v>0</v>
      </c>
      <c r="Q2">
        <v>0</v>
      </c>
      <c r="R2">
        <v>1</v>
      </c>
      <c r="S2">
        <v>0</v>
      </c>
      <c r="T2">
        <v>3</v>
      </c>
      <c r="U2">
        <v>0</v>
      </c>
      <c r="V2">
        <v>0</v>
      </c>
      <c r="W2">
        <v>7</v>
      </c>
      <c r="X2">
        <v>2</v>
      </c>
      <c r="Y2">
        <v>0</v>
      </c>
      <c r="Z2">
        <v>5</v>
      </c>
    </row>
    <row r="3" spans="1:26" x14ac:dyDescent="0.25">
      <c r="A3" t="str">
        <f t="shared" ref="A3:A23" si="0">CONCATENATE(C3,".",D3,".",E3)</f>
        <v>A.2.UB</v>
      </c>
      <c r="B3" t="str">
        <f t="shared" ref="B3:B23" si="1">CONCATENATE(C3,".",D3)</f>
        <v>A.2</v>
      </c>
      <c r="C3" t="s">
        <v>76</v>
      </c>
      <c r="D3">
        <v>2</v>
      </c>
      <c r="E3" t="s">
        <v>78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8</v>
      </c>
      <c r="M3">
        <v>0</v>
      </c>
      <c r="N3">
        <v>7</v>
      </c>
      <c r="O3">
        <v>8</v>
      </c>
      <c r="P3">
        <v>0</v>
      </c>
      <c r="Q3">
        <v>0</v>
      </c>
      <c r="R3">
        <v>1</v>
      </c>
      <c r="S3">
        <v>0</v>
      </c>
      <c r="T3">
        <v>8</v>
      </c>
      <c r="U3">
        <v>0</v>
      </c>
      <c r="V3">
        <v>1</v>
      </c>
      <c r="W3">
        <v>4</v>
      </c>
      <c r="X3">
        <v>4</v>
      </c>
      <c r="Y3">
        <v>1</v>
      </c>
      <c r="Z3">
        <v>7</v>
      </c>
    </row>
    <row r="4" spans="1:26" x14ac:dyDescent="0.25">
      <c r="A4" t="str">
        <f t="shared" si="0"/>
        <v>A.3.B</v>
      </c>
      <c r="B4" t="str">
        <f t="shared" si="1"/>
        <v>A.3</v>
      </c>
      <c r="C4" t="s">
        <v>76</v>
      </c>
      <c r="D4">
        <v>3</v>
      </c>
      <c r="E4" t="s">
        <v>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8</v>
      </c>
      <c r="M4">
        <v>0</v>
      </c>
      <c r="N4">
        <v>6</v>
      </c>
      <c r="O4">
        <v>8</v>
      </c>
      <c r="P4">
        <v>0</v>
      </c>
      <c r="Q4">
        <v>0</v>
      </c>
      <c r="R4">
        <v>4</v>
      </c>
      <c r="S4">
        <v>0</v>
      </c>
      <c r="T4">
        <v>0</v>
      </c>
      <c r="U4">
        <v>0</v>
      </c>
      <c r="V4">
        <v>2</v>
      </c>
      <c r="W4">
        <v>3</v>
      </c>
      <c r="X4">
        <v>2</v>
      </c>
      <c r="Y4">
        <v>1</v>
      </c>
      <c r="Z4">
        <v>2</v>
      </c>
    </row>
    <row r="5" spans="1:26" x14ac:dyDescent="0.25">
      <c r="A5" t="str">
        <f t="shared" si="0"/>
        <v>A.3.UB</v>
      </c>
      <c r="B5" t="str">
        <f t="shared" si="1"/>
        <v>A.3</v>
      </c>
      <c r="C5" t="s">
        <v>76</v>
      </c>
      <c r="D5">
        <v>3</v>
      </c>
      <c r="E5" t="s">
        <v>78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7</v>
      </c>
      <c r="M5">
        <v>0</v>
      </c>
      <c r="N5">
        <v>1</v>
      </c>
      <c r="O5">
        <v>8</v>
      </c>
      <c r="P5">
        <v>0</v>
      </c>
      <c r="Q5">
        <v>0</v>
      </c>
      <c r="R5">
        <v>7</v>
      </c>
      <c r="S5">
        <v>0</v>
      </c>
      <c r="T5">
        <v>4</v>
      </c>
      <c r="U5">
        <v>0</v>
      </c>
      <c r="V5">
        <v>1</v>
      </c>
      <c r="W5">
        <v>2</v>
      </c>
      <c r="X5">
        <v>0</v>
      </c>
      <c r="Y5">
        <v>1</v>
      </c>
      <c r="Z5">
        <v>1</v>
      </c>
    </row>
    <row r="6" spans="1:26" x14ac:dyDescent="0.25">
      <c r="A6" t="str">
        <f t="shared" si="0"/>
        <v>B.1.B</v>
      </c>
      <c r="B6" t="str">
        <f t="shared" si="1"/>
        <v>B.1</v>
      </c>
      <c r="C6" t="s">
        <v>77</v>
      </c>
      <c r="D6">
        <v>1</v>
      </c>
      <c r="E6" t="s">
        <v>77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2</v>
      </c>
      <c r="N6">
        <v>0</v>
      </c>
      <c r="O6">
        <v>8</v>
      </c>
      <c r="P6">
        <v>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5</v>
      </c>
    </row>
    <row r="7" spans="1:26" x14ac:dyDescent="0.25">
      <c r="A7" t="str">
        <f t="shared" si="0"/>
        <v>B.1.UB</v>
      </c>
      <c r="B7" t="str">
        <f t="shared" si="1"/>
        <v>B.1</v>
      </c>
      <c r="C7" t="s">
        <v>77</v>
      </c>
      <c r="D7">
        <v>1</v>
      </c>
      <c r="E7" t="s">
        <v>78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8</v>
      </c>
      <c r="N7">
        <v>0</v>
      </c>
      <c r="O7">
        <v>5</v>
      </c>
      <c r="P7">
        <v>0</v>
      </c>
      <c r="Q7">
        <v>0</v>
      </c>
      <c r="R7">
        <v>8</v>
      </c>
      <c r="S7">
        <v>0</v>
      </c>
      <c r="T7">
        <v>4</v>
      </c>
      <c r="U7">
        <v>0</v>
      </c>
      <c r="V7">
        <v>0</v>
      </c>
      <c r="W7">
        <v>7</v>
      </c>
      <c r="X7">
        <v>0</v>
      </c>
      <c r="Y7">
        <v>0</v>
      </c>
      <c r="Z7">
        <v>8</v>
      </c>
    </row>
    <row r="8" spans="1:26" x14ac:dyDescent="0.25">
      <c r="A8" t="str">
        <f t="shared" si="0"/>
        <v>F.2.B</v>
      </c>
      <c r="B8" t="str">
        <f t="shared" si="1"/>
        <v>F.2</v>
      </c>
      <c r="C8" t="s">
        <v>79</v>
      </c>
      <c r="D8">
        <v>2</v>
      </c>
      <c r="E8" t="s">
        <v>77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4</v>
      </c>
      <c r="N8">
        <v>0</v>
      </c>
      <c r="O8">
        <v>8</v>
      </c>
      <c r="P8">
        <v>0</v>
      </c>
      <c r="Q8">
        <v>1</v>
      </c>
      <c r="R8">
        <v>2</v>
      </c>
      <c r="S8">
        <v>0</v>
      </c>
      <c r="T8">
        <v>0</v>
      </c>
      <c r="U8">
        <v>0</v>
      </c>
      <c r="V8">
        <v>0</v>
      </c>
      <c r="W8">
        <v>7</v>
      </c>
      <c r="X8">
        <v>0</v>
      </c>
      <c r="Y8">
        <v>0</v>
      </c>
      <c r="Z8">
        <v>8</v>
      </c>
    </row>
    <row r="9" spans="1:26" x14ac:dyDescent="0.25">
      <c r="A9" t="str">
        <f t="shared" si="0"/>
        <v>F.2.UB</v>
      </c>
      <c r="B9" t="str">
        <f t="shared" si="1"/>
        <v>F.2</v>
      </c>
      <c r="C9" t="s">
        <v>79</v>
      </c>
      <c r="D9">
        <v>2</v>
      </c>
      <c r="E9" t="s">
        <v>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7</v>
      </c>
      <c r="N9">
        <v>0</v>
      </c>
      <c r="O9">
        <v>8</v>
      </c>
      <c r="P9">
        <v>0</v>
      </c>
      <c r="Q9">
        <v>1</v>
      </c>
      <c r="R9">
        <v>8</v>
      </c>
      <c r="S9">
        <v>0</v>
      </c>
      <c r="T9">
        <v>0</v>
      </c>
      <c r="U9">
        <v>0</v>
      </c>
      <c r="V9">
        <v>0</v>
      </c>
      <c r="W9">
        <v>6</v>
      </c>
      <c r="X9">
        <v>0</v>
      </c>
      <c r="Y9">
        <v>0</v>
      </c>
      <c r="Z9">
        <v>8</v>
      </c>
    </row>
    <row r="10" spans="1:26" x14ac:dyDescent="0.25">
      <c r="A10" t="str">
        <f t="shared" si="0"/>
        <v>F.3.B</v>
      </c>
      <c r="B10" t="str">
        <f t="shared" si="1"/>
        <v>F.3</v>
      </c>
      <c r="C10" t="s">
        <v>79</v>
      </c>
      <c r="D10">
        <v>3</v>
      </c>
      <c r="E10" t="s">
        <v>77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8</v>
      </c>
      <c r="P10">
        <v>0</v>
      </c>
      <c r="Q10">
        <v>3</v>
      </c>
      <c r="R10">
        <v>1</v>
      </c>
      <c r="S10">
        <v>0</v>
      </c>
      <c r="T10">
        <v>0</v>
      </c>
      <c r="U10">
        <v>0</v>
      </c>
      <c r="V10">
        <v>1</v>
      </c>
      <c r="W10">
        <v>7</v>
      </c>
      <c r="X10">
        <v>0</v>
      </c>
      <c r="Y10">
        <v>0</v>
      </c>
      <c r="Z10">
        <v>8</v>
      </c>
    </row>
    <row r="11" spans="1:26" x14ac:dyDescent="0.25">
      <c r="A11" t="str">
        <f t="shared" si="0"/>
        <v>F.3.UB</v>
      </c>
      <c r="B11" t="str">
        <f t="shared" si="1"/>
        <v>F.3</v>
      </c>
      <c r="C11" t="s">
        <v>79</v>
      </c>
      <c r="D11">
        <v>3</v>
      </c>
      <c r="E11" t="s">
        <v>78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2</v>
      </c>
      <c r="N11">
        <v>0</v>
      </c>
      <c r="O11">
        <v>8</v>
      </c>
      <c r="P11">
        <v>0</v>
      </c>
      <c r="Q11">
        <v>2</v>
      </c>
      <c r="R11">
        <v>8</v>
      </c>
      <c r="S11">
        <v>0</v>
      </c>
      <c r="T11">
        <v>0</v>
      </c>
      <c r="U11">
        <v>0</v>
      </c>
      <c r="V11">
        <v>0</v>
      </c>
      <c r="W11">
        <v>6</v>
      </c>
      <c r="X11">
        <v>2</v>
      </c>
      <c r="Y11">
        <v>0</v>
      </c>
      <c r="Z11">
        <v>8</v>
      </c>
    </row>
    <row r="12" spans="1:26" x14ac:dyDescent="0.25">
      <c r="A12" t="str">
        <f t="shared" si="0"/>
        <v>M.1.B</v>
      </c>
      <c r="B12" t="str">
        <f t="shared" si="1"/>
        <v>M.1</v>
      </c>
      <c r="C12" t="s">
        <v>80</v>
      </c>
      <c r="D12">
        <v>1</v>
      </c>
      <c r="E12" t="s">
        <v>77</v>
      </c>
      <c r="F12">
        <v>0</v>
      </c>
      <c r="G12">
        <v>0</v>
      </c>
      <c r="H12">
        <v>0</v>
      </c>
      <c r="I12">
        <v>0</v>
      </c>
      <c r="J12">
        <v>0</v>
      </c>
      <c r="K12">
        <v>4</v>
      </c>
      <c r="L12">
        <v>6</v>
      </c>
      <c r="M12">
        <v>0</v>
      </c>
      <c r="N12">
        <v>8</v>
      </c>
      <c r="O12">
        <v>8</v>
      </c>
      <c r="P12">
        <v>0</v>
      </c>
      <c r="Q12">
        <v>0</v>
      </c>
      <c r="R12">
        <v>2</v>
      </c>
      <c r="S12">
        <v>0</v>
      </c>
      <c r="T12">
        <v>5</v>
      </c>
      <c r="U12">
        <v>0</v>
      </c>
      <c r="V12">
        <v>2</v>
      </c>
      <c r="W12">
        <v>8</v>
      </c>
      <c r="X12">
        <v>0</v>
      </c>
      <c r="Y12">
        <v>0</v>
      </c>
      <c r="Z12">
        <v>0</v>
      </c>
    </row>
    <row r="13" spans="1:26" x14ac:dyDescent="0.25">
      <c r="A13" t="str">
        <f t="shared" si="0"/>
        <v>M.1.UB</v>
      </c>
      <c r="B13" t="str">
        <f t="shared" si="1"/>
        <v>M.1</v>
      </c>
      <c r="C13" t="s">
        <v>80</v>
      </c>
      <c r="D13">
        <v>1</v>
      </c>
      <c r="E13" t="s">
        <v>78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6</v>
      </c>
      <c r="M13">
        <v>0</v>
      </c>
      <c r="N13">
        <v>6</v>
      </c>
      <c r="O13">
        <v>8</v>
      </c>
      <c r="P13">
        <v>0</v>
      </c>
      <c r="Q13">
        <v>0</v>
      </c>
      <c r="R13">
        <v>6</v>
      </c>
      <c r="S13">
        <v>0</v>
      </c>
      <c r="T13">
        <v>6</v>
      </c>
      <c r="U13">
        <v>0</v>
      </c>
      <c r="V13">
        <v>5</v>
      </c>
      <c r="W13">
        <v>8</v>
      </c>
      <c r="X13">
        <v>0</v>
      </c>
      <c r="Y13">
        <v>0</v>
      </c>
      <c r="Z13">
        <v>2</v>
      </c>
    </row>
    <row r="14" spans="1:26" x14ac:dyDescent="0.25">
      <c r="A14" t="str">
        <f t="shared" si="0"/>
        <v>M.2.B</v>
      </c>
      <c r="B14" t="str">
        <f t="shared" si="1"/>
        <v>M.2</v>
      </c>
      <c r="C14" t="s">
        <v>80</v>
      </c>
      <c r="D14">
        <v>2</v>
      </c>
      <c r="E14" t="s">
        <v>77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8</v>
      </c>
      <c r="M14">
        <v>0</v>
      </c>
      <c r="N14">
        <v>7</v>
      </c>
      <c r="O14">
        <v>1</v>
      </c>
      <c r="P14">
        <v>0</v>
      </c>
      <c r="Q14">
        <v>0</v>
      </c>
      <c r="R14">
        <v>1</v>
      </c>
      <c r="S14">
        <v>0</v>
      </c>
      <c r="T14">
        <v>2</v>
      </c>
      <c r="U14">
        <v>0</v>
      </c>
      <c r="V14">
        <v>3</v>
      </c>
      <c r="W14">
        <v>7</v>
      </c>
      <c r="X14">
        <v>0</v>
      </c>
      <c r="Y14">
        <v>1</v>
      </c>
      <c r="Z14">
        <v>0</v>
      </c>
    </row>
    <row r="15" spans="1:26" x14ac:dyDescent="0.25">
      <c r="A15" t="str">
        <f t="shared" si="0"/>
        <v>M.2.UB</v>
      </c>
      <c r="B15" t="str">
        <f t="shared" si="1"/>
        <v>M.2</v>
      </c>
      <c r="C15" t="s">
        <v>80</v>
      </c>
      <c r="D15">
        <v>2</v>
      </c>
      <c r="E15" t="s">
        <v>78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8</v>
      </c>
      <c r="M15">
        <v>0</v>
      </c>
      <c r="N15">
        <v>8</v>
      </c>
      <c r="O15">
        <v>3</v>
      </c>
      <c r="P15">
        <v>0</v>
      </c>
      <c r="Q15">
        <v>0</v>
      </c>
      <c r="R15">
        <v>4</v>
      </c>
      <c r="S15">
        <v>0</v>
      </c>
      <c r="T15">
        <v>4</v>
      </c>
      <c r="U15">
        <v>0</v>
      </c>
      <c r="V15">
        <v>4</v>
      </c>
      <c r="W15">
        <v>8</v>
      </c>
      <c r="X15">
        <v>0</v>
      </c>
      <c r="Y15">
        <v>0</v>
      </c>
      <c r="Z15">
        <v>0</v>
      </c>
    </row>
    <row r="16" spans="1:26" x14ac:dyDescent="0.25">
      <c r="A16" t="str">
        <f t="shared" si="0"/>
        <v>S.1.B</v>
      </c>
      <c r="B16" t="str">
        <f t="shared" si="1"/>
        <v>S.1</v>
      </c>
      <c r="C16" t="s">
        <v>81</v>
      </c>
      <c r="D16">
        <v>1</v>
      </c>
      <c r="E16" t="s">
        <v>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1</v>
      </c>
      <c r="O16">
        <v>1</v>
      </c>
      <c r="P16">
        <v>0</v>
      </c>
      <c r="Q16">
        <v>6</v>
      </c>
      <c r="R16">
        <v>6</v>
      </c>
      <c r="S16">
        <v>0</v>
      </c>
      <c r="T16">
        <v>8</v>
      </c>
      <c r="U16">
        <v>7</v>
      </c>
      <c r="V16">
        <v>0</v>
      </c>
      <c r="W16">
        <v>8</v>
      </c>
      <c r="X16">
        <v>0</v>
      </c>
      <c r="Y16">
        <v>1</v>
      </c>
      <c r="Z16">
        <v>0</v>
      </c>
    </row>
    <row r="17" spans="1:26" x14ac:dyDescent="0.25">
      <c r="A17" t="str">
        <f t="shared" si="0"/>
        <v>S.1.UB</v>
      </c>
      <c r="B17" t="str">
        <f t="shared" si="1"/>
        <v>S.1</v>
      </c>
      <c r="C17" t="s">
        <v>81</v>
      </c>
      <c r="D17">
        <v>1</v>
      </c>
      <c r="E17" t="s">
        <v>78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3</v>
      </c>
      <c r="P17">
        <v>0</v>
      </c>
      <c r="Q17">
        <v>0</v>
      </c>
      <c r="R17">
        <v>6</v>
      </c>
      <c r="S17">
        <v>0</v>
      </c>
      <c r="T17">
        <v>0</v>
      </c>
      <c r="U17">
        <v>8</v>
      </c>
      <c r="V17">
        <v>0</v>
      </c>
      <c r="W17">
        <v>8</v>
      </c>
      <c r="X17">
        <v>0</v>
      </c>
      <c r="Y17">
        <v>3</v>
      </c>
      <c r="Z17">
        <v>1</v>
      </c>
    </row>
    <row r="18" spans="1:26" x14ac:dyDescent="0.25">
      <c r="A18" t="str">
        <f t="shared" si="0"/>
        <v>S.2.B</v>
      </c>
      <c r="B18" t="str">
        <f t="shared" si="1"/>
        <v>S.2</v>
      </c>
      <c r="C18" t="s">
        <v>81</v>
      </c>
      <c r="D18">
        <v>2</v>
      </c>
      <c r="E18" t="s">
        <v>77</v>
      </c>
      <c r="F18">
        <v>1</v>
      </c>
      <c r="G18">
        <v>0</v>
      </c>
      <c r="H18">
        <v>1</v>
      </c>
      <c r="I18">
        <v>0</v>
      </c>
      <c r="J18">
        <v>1</v>
      </c>
      <c r="K18">
        <v>0</v>
      </c>
      <c r="L18">
        <v>0</v>
      </c>
      <c r="M18">
        <v>0</v>
      </c>
      <c r="N18">
        <v>6</v>
      </c>
      <c r="O18">
        <v>6</v>
      </c>
      <c r="P18">
        <v>0</v>
      </c>
      <c r="Q18">
        <v>8</v>
      </c>
      <c r="R18">
        <v>7</v>
      </c>
      <c r="S18">
        <v>0</v>
      </c>
      <c r="T18">
        <v>4</v>
      </c>
      <c r="U18">
        <v>8</v>
      </c>
      <c r="V18">
        <v>3</v>
      </c>
      <c r="W18">
        <v>8</v>
      </c>
      <c r="X18">
        <v>0</v>
      </c>
      <c r="Y18">
        <v>4</v>
      </c>
      <c r="Z18">
        <v>3</v>
      </c>
    </row>
    <row r="19" spans="1:26" x14ac:dyDescent="0.25">
      <c r="A19" t="str">
        <f t="shared" si="0"/>
        <v>S.2.UB</v>
      </c>
      <c r="B19" t="str">
        <f t="shared" si="1"/>
        <v>S.2</v>
      </c>
      <c r="C19" t="s">
        <v>81</v>
      </c>
      <c r="D19">
        <v>2</v>
      </c>
      <c r="E19" t="s">
        <v>78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8</v>
      </c>
      <c r="M19">
        <v>0</v>
      </c>
      <c r="N19">
        <v>0</v>
      </c>
      <c r="O19">
        <v>1</v>
      </c>
      <c r="P19">
        <v>0</v>
      </c>
      <c r="Q19">
        <v>4</v>
      </c>
      <c r="R19">
        <v>3</v>
      </c>
      <c r="S19">
        <v>1</v>
      </c>
      <c r="T19">
        <v>2</v>
      </c>
      <c r="U19">
        <v>8</v>
      </c>
      <c r="V19">
        <v>1</v>
      </c>
      <c r="W19">
        <v>8</v>
      </c>
      <c r="X19">
        <v>0</v>
      </c>
      <c r="Y19">
        <v>2</v>
      </c>
      <c r="Z19">
        <v>0</v>
      </c>
    </row>
    <row r="20" spans="1:26" x14ac:dyDescent="0.25">
      <c r="A20" t="str">
        <f t="shared" si="0"/>
        <v>W.1.B</v>
      </c>
      <c r="B20" t="str">
        <f t="shared" si="1"/>
        <v>W.1</v>
      </c>
      <c r="C20" t="s">
        <v>82</v>
      </c>
      <c r="D20">
        <v>1</v>
      </c>
      <c r="E20" t="s">
        <v>77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7</v>
      </c>
      <c r="M20">
        <v>0</v>
      </c>
      <c r="N20">
        <v>6</v>
      </c>
      <c r="O20">
        <v>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</v>
      </c>
      <c r="W20">
        <v>8</v>
      </c>
      <c r="X20">
        <v>4</v>
      </c>
      <c r="Y20">
        <v>0</v>
      </c>
      <c r="Z20">
        <v>1</v>
      </c>
    </row>
    <row r="21" spans="1:26" x14ac:dyDescent="0.25">
      <c r="A21" t="str">
        <f t="shared" si="0"/>
        <v>W.1.UB</v>
      </c>
      <c r="B21" t="str">
        <f t="shared" si="1"/>
        <v>W.1</v>
      </c>
      <c r="C21" t="s">
        <v>82</v>
      </c>
      <c r="D21">
        <v>1</v>
      </c>
      <c r="E21" t="s">
        <v>78</v>
      </c>
      <c r="F21">
        <v>0</v>
      </c>
      <c r="G21">
        <v>0</v>
      </c>
      <c r="H21">
        <v>0</v>
      </c>
      <c r="I21">
        <v>0</v>
      </c>
      <c r="J21">
        <v>0</v>
      </c>
      <c r="K21">
        <v>2</v>
      </c>
      <c r="L21">
        <v>2</v>
      </c>
      <c r="M21">
        <v>0</v>
      </c>
      <c r="N21">
        <v>7</v>
      </c>
      <c r="O21">
        <v>7</v>
      </c>
      <c r="P21">
        <v>0</v>
      </c>
      <c r="Q21">
        <v>0</v>
      </c>
      <c r="R21">
        <v>7</v>
      </c>
      <c r="S21">
        <v>0</v>
      </c>
      <c r="T21">
        <v>4</v>
      </c>
      <c r="U21">
        <v>0</v>
      </c>
      <c r="V21">
        <v>1</v>
      </c>
      <c r="W21">
        <v>7</v>
      </c>
      <c r="X21">
        <v>0</v>
      </c>
      <c r="Y21">
        <v>0</v>
      </c>
      <c r="Z21">
        <v>2</v>
      </c>
    </row>
    <row r="22" spans="1:26" x14ac:dyDescent="0.25">
      <c r="A22" t="str">
        <f t="shared" si="0"/>
        <v>W.2.B</v>
      </c>
      <c r="B22" t="str">
        <f t="shared" si="1"/>
        <v>W.2</v>
      </c>
      <c r="C22" t="s">
        <v>82</v>
      </c>
      <c r="D22">
        <v>2</v>
      </c>
      <c r="E22" t="s">
        <v>77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8</v>
      </c>
      <c r="M22">
        <v>0</v>
      </c>
      <c r="N22">
        <v>8</v>
      </c>
      <c r="O22">
        <v>8</v>
      </c>
      <c r="P22">
        <v>0</v>
      </c>
      <c r="Q22">
        <v>0</v>
      </c>
      <c r="R22">
        <v>0</v>
      </c>
      <c r="S22">
        <v>0</v>
      </c>
      <c r="T22">
        <v>5</v>
      </c>
      <c r="U22">
        <v>0</v>
      </c>
      <c r="V22">
        <v>1</v>
      </c>
      <c r="W22">
        <v>1</v>
      </c>
      <c r="X22">
        <v>7</v>
      </c>
      <c r="Y22">
        <v>0</v>
      </c>
      <c r="Z22">
        <v>0</v>
      </c>
    </row>
    <row r="23" spans="1:26" x14ac:dyDescent="0.25">
      <c r="A23" t="str">
        <f t="shared" si="0"/>
        <v>W.2.UB</v>
      </c>
      <c r="B23" t="str">
        <f t="shared" si="1"/>
        <v>W.2</v>
      </c>
      <c r="C23" t="s">
        <v>82</v>
      </c>
      <c r="D23">
        <v>2</v>
      </c>
      <c r="E23" t="s">
        <v>78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8</v>
      </c>
      <c r="M23">
        <v>0</v>
      </c>
      <c r="N23">
        <v>2</v>
      </c>
      <c r="O23">
        <v>8</v>
      </c>
      <c r="P23">
        <v>0</v>
      </c>
      <c r="Q23">
        <v>0</v>
      </c>
      <c r="R23">
        <v>8</v>
      </c>
      <c r="S23">
        <v>0</v>
      </c>
      <c r="T23">
        <v>7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3"/>
  <sheetViews>
    <sheetView workbookViewId="0">
      <selection activeCell="J30" sqref="J30"/>
    </sheetView>
  </sheetViews>
  <sheetFormatPr defaultRowHeight="15" x14ac:dyDescent="0.25"/>
  <cols>
    <col min="13" max="15" width="8.85546875" style="4"/>
  </cols>
  <sheetData>
    <row r="1" spans="1:17" x14ac:dyDescent="0.25">
      <c r="A1" t="s">
        <v>86</v>
      </c>
      <c r="B1" t="s">
        <v>83</v>
      </c>
      <c r="C1" t="s">
        <v>84</v>
      </c>
      <c r="D1" t="s">
        <v>87</v>
      </c>
      <c r="E1" t="s">
        <v>85</v>
      </c>
      <c r="F1" t="s">
        <v>88</v>
      </c>
      <c r="G1" s="1" t="s">
        <v>92</v>
      </c>
      <c r="H1" s="1" t="s">
        <v>93</v>
      </c>
      <c r="I1" s="1" t="s">
        <v>94</v>
      </c>
      <c r="J1" s="1" t="s">
        <v>89</v>
      </c>
      <c r="K1" s="1" t="s">
        <v>90</v>
      </c>
      <c r="L1" s="1" t="s">
        <v>91</v>
      </c>
      <c r="N1" s="1"/>
      <c r="O1" s="1"/>
      <c r="Q1" s="1"/>
    </row>
    <row r="2" spans="1:17" x14ac:dyDescent="0.25">
      <c r="A2" t="str">
        <f>CONCATENATE(B2,".",C2,".",E2)</f>
        <v>A.2.B</v>
      </c>
      <c r="B2" t="s">
        <v>76</v>
      </c>
      <c r="C2">
        <v>2</v>
      </c>
      <c r="D2" t="str">
        <f>CONCATENATE(B2,".",C2)</f>
        <v>A.2</v>
      </c>
      <c r="E2" t="s">
        <v>77</v>
      </c>
      <c r="F2" t="s">
        <v>95</v>
      </c>
      <c r="G2" s="2">
        <v>0.78333333333333333</v>
      </c>
      <c r="H2" s="2">
        <v>2.1999999999999997</v>
      </c>
      <c r="I2" s="2">
        <v>2.9833333333333329</v>
      </c>
      <c r="J2" s="1">
        <v>34.700000000000003</v>
      </c>
      <c r="K2" s="1">
        <v>98.1</v>
      </c>
      <c r="L2" s="1">
        <v>33.299999999999997</v>
      </c>
      <c r="N2" s="2"/>
      <c r="O2" s="2"/>
      <c r="Q2" s="2"/>
    </row>
    <row r="3" spans="1:17" x14ac:dyDescent="0.25">
      <c r="A3" t="str">
        <f t="shared" ref="A3:A23" si="0">CONCATENATE(B3,".",C3,".",E3)</f>
        <v>A.2.UB</v>
      </c>
      <c r="B3" t="s">
        <v>76</v>
      </c>
      <c r="C3">
        <v>2</v>
      </c>
      <c r="D3" t="str">
        <f t="shared" ref="D3:D23" si="1">CONCATENATE(B3,".",C3)</f>
        <v>A.2</v>
      </c>
      <c r="E3" t="s">
        <v>78</v>
      </c>
      <c r="F3" t="s">
        <v>95</v>
      </c>
      <c r="G3" s="2">
        <v>0.78333333333333333</v>
      </c>
      <c r="H3" s="2">
        <v>2.1999999999999997</v>
      </c>
      <c r="I3" s="2">
        <v>2.9833333333333329</v>
      </c>
      <c r="J3" s="1">
        <v>34.700000000000003</v>
      </c>
      <c r="K3" s="1">
        <v>98.1</v>
      </c>
      <c r="L3" s="1">
        <v>33.299999999999997</v>
      </c>
      <c r="N3" s="2"/>
      <c r="O3" s="2"/>
      <c r="Q3" s="2"/>
    </row>
    <row r="4" spans="1:17" x14ac:dyDescent="0.25">
      <c r="A4" t="str">
        <f t="shared" si="0"/>
        <v>A.3.B</v>
      </c>
      <c r="B4" t="s">
        <v>76</v>
      </c>
      <c r="C4">
        <v>3</v>
      </c>
      <c r="D4" t="str">
        <f t="shared" si="1"/>
        <v>A.3</v>
      </c>
      <c r="E4" t="s">
        <v>77</v>
      </c>
      <c r="F4" t="s">
        <v>95</v>
      </c>
      <c r="G4" s="2">
        <v>0.56666666666666676</v>
      </c>
      <c r="H4" s="2">
        <v>1.7857142857142858</v>
      </c>
      <c r="I4" s="2">
        <v>2.3523809523809525</v>
      </c>
      <c r="J4" s="1">
        <v>34.700000000000003</v>
      </c>
      <c r="K4" s="1">
        <v>98.1</v>
      </c>
      <c r="L4" s="1">
        <v>33.299999999999997</v>
      </c>
      <c r="N4" s="2"/>
      <c r="O4" s="2"/>
      <c r="Q4" s="2"/>
    </row>
    <row r="5" spans="1:17" x14ac:dyDescent="0.25">
      <c r="A5" t="str">
        <f t="shared" si="0"/>
        <v>A.3.UB</v>
      </c>
      <c r="B5" t="s">
        <v>76</v>
      </c>
      <c r="C5">
        <v>3</v>
      </c>
      <c r="D5" t="str">
        <f t="shared" si="1"/>
        <v>A.3</v>
      </c>
      <c r="E5" t="s">
        <v>78</v>
      </c>
      <c r="F5" t="s">
        <v>95</v>
      </c>
      <c r="G5" s="2">
        <v>0.56666666666666676</v>
      </c>
      <c r="H5" s="2">
        <v>1.7857142857142858</v>
      </c>
      <c r="I5" s="2">
        <v>2.3523809523809525</v>
      </c>
      <c r="J5" s="1">
        <v>34.700000000000003</v>
      </c>
      <c r="K5" s="1">
        <v>98.1</v>
      </c>
      <c r="L5" s="1">
        <v>33.299999999999997</v>
      </c>
      <c r="N5" s="2"/>
      <c r="O5" s="2"/>
      <c r="Q5" s="2"/>
    </row>
    <row r="6" spans="1:17" x14ac:dyDescent="0.25">
      <c r="A6" t="str">
        <f t="shared" si="0"/>
        <v>B.1.B</v>
      </c>
      <c r="B6" t="s">
        <v>77</v>
      </c>
      <c r="C6">
        <v>1</v>
      </c>
      <c r="D6" t="str">
        <f t="shared" si="1"/>
        <v>B.1</v>
      </c>
      <c r="E6" t="s">
        <v>77</v>
      </c>
      <c r="F6" t="s">
        <v>99</v>
      </c>
      <c r="G6" s="2">
        <v>1.63</v>
      </c>
      <c r="H6" s="2">
        <v>2.21</v>
      </c>
      <c r="I6" s="2">
        <v>3.85</v>
      </c>
      <c r="J6" t="s">
        <v>130</v>
      </c>
      <c r="K6" t="s">
        <v>130</v>
      </c>
      <c r="L6" t="s">
        <v>130</v>
      </c>
      <c r="N6" s="2"/>
      <c r="O6" s="2"/>
      <c r="Q6" s="2"/>
    </row>
    <row r="7" spans="1:17" x14ac:dyDescent="0.25">
      <c r="A7" t="str">
        <f t="shared" si="0"/>
        <v>B.1.UB</v>
      </c>
      <c r="B7" t="s">
        <v>77</v>
      </c>
      <c r="C7">
        <v>1</v>
      </c>
      <c r="D7" t="str">
        <f t="shared" si="1"/>
        <v>B.1</v>
      </c>
      <c r="E7" t="s">
        <v>78</v>
      </c>
      <c r="F7" t="s">
        <v>99</v>
      </c>
      <c r="G7" s="2">
        <v>1.63</v>
      </c>
      <c r="H7" s="2">
        <v>2.21</v>
      </c>
      <c r="I7" s="2">
        <v>3.85</v>
      </c>
      <c r="J7" t="s">
        <v>130</v>
      </c>
      <c r="K7" t="s">
        <v>130</v>
      </c>
      <c r="L7" t="s">
        <v>130</v>
      </c>
      <c r="N7" s="2"/>
      <c r="O7" s="2"/>
      <c r="Q7" s="2"/>
    </row>
    <row r="8" spans="1:17" x14ac:dyDescent="0.25">
      <c r="A8" t="str">
        <f t="shared" si="0"/>
        <v>F.2.B</v>
      </c>
      <c r="B8" t="s">
        <v>79</v>
      </c>
      <c r="C8">
        <v>2</v>
      </c>
      <c r="D8" t="str">
        <f t="shared" si="1"/>
        <v>F.2</v>
      </c>
      <c r="E8" t="s">
        <v>77</v>
      </c>
      <c r="F8" t="s">
        <v>96</v>
      </c>
      <c r="G8" s="2">
        <v>1.5</v>
      </c>
      <c r="H8" s="2">
        <v>2.3285714285714283</v>
      </c>
      <c r="I8" s="2">
        <v>3.8285714285714283</v>
      </c>
      <c r="J8" s="3">
        <v>30.403962163565101</v>
      </c>
      <c r="K8" s="3">
        <v>62.266412981190001</v>
      </c>
      <c r="L8" s="3">
        <v>24.030378674262501</v>
      </c>
      <c r="N8" s="2"/>
      <c r="O8" s="2"/>
      <c r="Q8" s="2"/>
    </row>
    <row r="9" spans="1:17" x14ac:dyDescent="0.25">
      <c r="A9" t="str">
        <f t="shared" si="0"/>
        <v>F.2.UB</v>
      </c>
      <c r="B9" t="s">
        <v>79</v>
      </c>
      <c r="C9">
        <v>2</v>
      </c>
      <c r="D9" t="str">
        <f t="shared" si="1"/>
        <v>F.2</v>
      </c>
      <c r="E9" t="s">
        <v>78</v>
      </c>
      <c r="F9" t="s">
        <v>96</v>
      </c>
      <c r="G9" s="2">
        <v>1.5</v>
      </c>
      <c r="H9" s="2">
        <v>2.3285714285714283</v>
      </c>
      <c r="I9" s="2">
        <v>3.8285714285714283</v>
      </c>
      <c r="J9" s="3">
        <v>30.403962163565101</v>
      </c>
      <c r="K9" s="3">
        <v>62.266412981190001</v>
      </c>
      <c r="L9" s="3">
        <v>24.030378674262501</v>
      </c>
      <c r="N9" s="2"/>
      <c r="O9" s="2"/>
      <c r="Q9" s="2"/>
    </row>
    <row r="10" spans="1:17" x14ac:dyDescent="0.25">
      <c r="A10" t="str">
        <f t="shared" si="0"/>
        <v>F.3.B</v>
      </c>
      <c r="B10" t="s">
        <v>79</v>
      </c>
      <c r="C10">
        <v>3</v>
      </c>
      <c r="D10" t="str">
        <f t="shared" si="1"/>
        <v>F.3</v>
      </c>
      <c r="E10" t="s">
        <v>77</v>
      </c>
      <c r="F10" t="s">
        <v>96</v>
      </c>
      <c r="G10" s="2">
        <v>1.6333333333333335</v>
      </c>
      <c r="H10" s="2">
        <v>2.3142857142857141</v>
      </c>
      <c r="I10" s="2">
        <v>3.9476190476190478</v>
      </c>
      <c r="J10" s="3">
        <v>30.403962163565101</v>
      </c>
      <c r="K10" s="3">
        <v>62.266412981190001</v>
      </c>
      <c r="L10" s="3">
        <v>24.030378674262501</v>
      </c>
      <c r="N10" s="2"/>
      <c r="O10" s="2"/>
      <c r="Q10" s="2"/>
    </row>
    <row r="11" spans="1:17" x14ac:dyDescent="0.25">
      <c r="A11" t="str">
        <f t="shared" si="0"/>
        <v>F.3.UB</v>
      </c>
      <c r="B11" t="s">
        <v>79</v>
      </c>
      <c r="C11">
        <v>3</v>
      </c>
      <c r="D11" t="str">
        <f t="shared" si="1"/>
        <v>F.3</v>
      </c>
      <c r="E11" t="s">
        <v>78</v>
      </c>
      <c r="F11" t="s">
        <v>96</v>
      </c>
      <c r="G11" s="2">
        <v>1.6333333333333335</v>
      </c>
      <c r="H11" s="2">
        <v>2.3142857142857141</v>
      </c>
      <c r="I11" s="2">
        <v>3.9476190476190478</v>
      </c>
      <c r="J11" s="3">
        <v>30.403962163565101</v>
      </c>
      <c r="K11" s="3">
        <v>62.266412981190001</v>
      </c>
      <c r="L11" s="3">
        <v>24.030378674262501</v>
      </c>
      <c r="N11" s="2"/>
      <c r="O11" s="2"/>
      <c r="Q11" s="2"/>
    </row>
    <row r="12" spans="1:17" x14ac:dyDescent="0.25">
      <c r="A12" t="str">
        <f t="shared" si="0"/>
        <v>M.1.B</v>
      </c>
      <c r="B12" t="s">
        <v>80</v>
      </c>
      <c r="C12">
        <v>1</v>
      </c>
      <c r="D12" t="str">
        <f t="shared" si="1"/>
        <v>M.1</v>
      </c>
      <c r="E12" t="s">
        <v>77</v>
      </c>
      <c r="F12" t="s">
        <v>95</v>
      </c>
      <c r="G12" s="2">
        <v>0.70416666666666661</v>
      </c>
      <c r="H12" s="2">
        <v>1.375</v>
      </c>
      <c r="I12" s="2">
        <v>2.0791666666666666</v>
      </c>
      <c r="J12" s="1">
        <v>9.1999999999999993</v>
      </c>
      <c r="K12" s="1">
        <v>35.299999999999997</v>
      </c>
      <c r="L12" s="1">
        <v>4.2</v>
      </c>
      <c r="N12" s="2"/>
      <c r="O12" s="2"/>
      <c r="Q12" s="2"/>
    </row>
    <row r="13" spans="1:17" x14ac:dyDescent="0.25">
      <c r="A13" t="str">
        <f t="shared" si="0"/>
        <v>M.1.UB</v>
      </c>
      <c r="B13" t="s">
        <v>80</v>
      </c>
      <c r="C13">
        <v>1</v>
      </c>
      <c r="D13" t="str">
        <f t="shared" si="1"/>
        <v>M.1</v>
      </c>
      <c r="E13" t="s">
        <v>78</v>
      </c>
      <c r="F13" t="s">
        <v>95</v>
      </c>
      <c r="G13" s="2">
        <v>0.70416666666666661</v>
      </c>
      <c r="H13" s="2">
        <v>1.375</v>
      </c>
      <c r="I13" s="2">
        <v>2.0791666666666666</v>
      </c>
      <c r="J13" s="1">
        <v>9.1999999999999993</v>
      </c>
      <c r="K13" s="1">
        <v>35.299999999999997</v>
      </c>
      <c r="L13" s="1">
        <v>4.2</v>
      </c>
      <c r="N13" s="2"/>
      <c r="O13" s="2"/>
      <c r="Q13" s="2"/>
    </row>
    <row r="14" spans="1:17" x14ac:dyDescent="0.25">
      <c r="A14" t="str">
        <f t="shared" si="0"/>
        <v>M.2.B</v>
      </c>
      <c r="B14" t="s">
        <v>80</v>
      </c>
      <c r="C14">
        <v>2</v>
      </c>
      <c r="D14" t="str">
        <f t="shared" si="1"/>
        <v>M.2</v>
      </c>
      <c r="E14" t="s">
        <v>77</v>
      </c>
      <c r="F14" t="s">
        <v>97</v>
      </c>
      <c r="G14" s="2">
        <v>0.33333333333333331</v>
      </c>
      <c r="H14" s="2">
        <v>1</v>
      </c>
      <c r="I14" s="2">
        <v>1.3333333333333333</v>
      </c>
      <c r="J14" s="1">
        <v>9.1999999999999993</v>
      </c>
      <c r="K14" s="1">
        <v>35.299999999999997</v>
      </c>
      <c r="L14" s="1">
        <v>4.2</v>
      </c>
      <c r="N14" s="2"/>
      <c r="O14" s="2"/>
      <c r="Q14" s="2"/>
    </row>
    <row r="15" spans="1:17" x14ac:dyDescent="0.25">
      <c r="A15" t="str">
        <f t="shared" si="0"/>
        <v>M.2.UB</v>
      </c>
      <c r="B15" t="s">
        <v>80</v>
      </c>
      <c r="C15">
        <v>2</v>
      </c>
      <c r="D15" t="str">
        <f t="shared" si="1"/>
        <v>M.2</v>
      </c>
      <c r="E15" t="s">
        <v>78</v>
      </c>
      <c r="F15" t="s">
        <v>97</v>
      </c>
      <c r="G15" s="2">
        <v>0.33333333333333331</v>
      </c>
      <c r="H15" s="2">
        <v>1</v>
      </c>
      <c r="I15" s="2">
        <v>1.3333333333333333</v>
      </c>
      <c r="J15" s="1">
        <v>9.1999999999999993</v>
      </c>
      <c r="K15" s="1">
        <v>35.299999999999997</v>
      </c>
      <c r="L15" s="1">
        <v>4.2</v>
      </c>
      <c r="N15" s="2"/>
      <c r="O15" s="2"/>
      <c r="Q15" s="2"/>
    </row>
    <row r="16" spans="1:17" x14ac:dyDescent="0.25">
      <c r="A16" t="str">
        <f t="shared" si="0"/>
        <v>S.1.B</v>
      </c>
      <c r="B16" t="s">
        <v>81</v>
      </c>
      <c r="C16">
        <v>1</v>
      </c>
      <c r="D16" t="str">
        <f t="shared" si="1"/>
        <v>S.1</v>
      </c>
      <c r="E16" t="s">
        <v>77</v>
      </c>
      <c r="F16" t="s">
        <v>98</v>
      </c>
      <c r="G16" s="2">
        <v>0.39999999999999997</v>
      </c>
      <c r="H16" s="2">
        <v>0.6</v>
      </c>
      <c r="I16" s="2">
        <v>1</v>
      </c>
      <c r="J16" s="1">
        <v>3.2</v>
      </c>
      <c r="K16" s="1">
        <v>11.9</v>
      </c>
      <c r="L16" s="1">
        <v>2.1</v>
      </c>
      <c r="Q16" s="2"/>
    </row>
    <row r="17" spans="1:17" x14ac:dyDescent="0.25">
      <c r="A17" t="str">
        <f t="shared" si="0"/>
        <v>S.1.UB</v>
      </c>
      <c r="B17" t="s">
        <v>81</v>
      </c>
      <c r="C17">
        <v>1</v>
      </c>
      <c r="D17" t="str">
        <f t="shared" si="1"/>
        <v>S.1</v>
      </c>
      <c r="E17" t="s">
        <v>78</v>
      </c>
      <c r="F17" t="s">
        <v>98</v>
      </c>
      <c r="G17" s="2">
        <v>0.39999999999999997</v>
      </c>
      <c r="H17" s="2">
        <v>0.6</v>
      </c>
      <c r="I17" s="2">
        <v>1</v>
      </c>
      <c r="J17" s="1">
        <v>3.2</v>
      </c>
      <c r="K17" s="1">
        <v>11.9</v>
      </c>
      <c r="L17" s="1">
        <v>2.1</v>
      </c>
      <c r="Q17" s="2"/>
    </row>
    <row r="18" spans="1:17" x14ac:dyDescent="0.25">
      <c r="A18" t="str">
        <f t="shared" si="0"/>
        <v>S.2.B</v>
      </c>
      <c r="B18" t="s">
        <v>81</v>
      </c>
      <c r="C18">
        <v>2</v>
      </c>
      <c r="D18" t="str">
        <f t="shared" si="1"/>
        <v>S.2</v>
      </c>
      <c r="E18" t="s">
        <v>77</v>
      </c>
      <c r="F18" t="s">
        <v>98</v>
      </c>
      <c r="G18" s="2">
        <v>1.0333333333333334</v>
      </c>
      <c r="H18" s="2">
        <v>1.3333333333333333</v>
      </c>
      <c r="I18" s="2">
        <v>2.3666666666666667</v>
      </c>
      <c r="J18" s="1">
        <v>3.2</v>
      </c>
      <c r="K18" s="1">
        <v>11.9</v>
      </c>
      <c r="L18" s="1">
        <v>2.1</v>
      </c>
      <c r="Q18" s="2"/>
    </row>
    <row r="19" spans="1:17" x14ac:dyDescent="0.25">
      <c r="A19" t="str">
        <f t="shared" si="0"/>
        <v>S.2.UB</v>
      </c>
      <c r="B19" t="s">
        <v>81</v>
      </c>
      <c r="C19">
        <v>2</v>
      </c>
      <c r="D19" t="str">
        <f t="shared" si="1"/>
        <v>S.2</v>
      </c>
      <c r="E19" t="s">
        <v>78</v>
      </c>
      <c r="F19" t="s">
        <v>98</v>
      </c>
      <c r="G19" s="2">
        <v>1.0333333333333334</v>
      </c>
      <c r="H19" s="2">
        <v>1.3333333333333333</v>
      </c>
      <c r="I19" s="2">
        <v>2.3666666666666667</v>
      </c>
      <c r="J19" s="1">
        <v>3.2</v>
      </c>
      <c r="K19" s="1">
        <v>11.9</v>
      </c>
      <c r="L19" s="1">
        <v>2.1</v>
      </c>
      <c r="Q19" s="2"/>
    </row>
    <row r="20" spans="1:17" x14ac:dyDescent="0.25">
      <c r="A20" t="str">
        <f t="shared" si="0"/>
        <v>W.1.B</v>
      </c>
      <c r="B20" t="s">
        <v>82</v>
      </c>
      <c r="C20">
        <v>1</v>
      </c>
      <c r="D20" t="str">
        <f t="shared" si="1"/>
        <v>W.1</v>
      </c>
      <c r="E20" t="s">
        <v>77</v>
      </c>
      <c r="F20" t="s">
        <v>96</v>
      </c>
      <c r="G20" s="2">
        <v>1.7749999999999999</v>
      </c>
      <c r="H20" s="2">
        <v>2.3166666666666669</v>
      </c>
      <c r="I20" s="2">
        <v>4.0916666666666668</v>
      </c>
      <c r="J20" s="1">
        <v>35.6</v>
      </c>
      <c r="K20" s="1">
        <v>118</v>
      </c>
      <c r="L20" s="1">
        <v>17.2</v>
      </c>
      <c r="Q20" s="2"/>
    </row>
    <row r="21" spans="1:17" x14ac:dyDescent="0.25">
      <c r="A21" t="str">
        <f t="shared" si="0"/>
        <v>W.1.UB</v>
      </c>
      <c r="B21" t="s">
        <v>82</v>
      </c>
      <c r="C21">
        <v>1</v>
      </c>
      <c r="D21" t="str">
        <f t="shared" si="1"/>
        <v>W.1</v>
      </c>
      <c r="E21" t="s">
        <v>78</v>
      </c>
      <c r="F21" t="s">
        <v>96</v>
      </c>
      <c r="G21" s="2">
        <v>1.7749999999999999</v>
      </c>
      <c r="H21" s="2">
        <v>2.3166666666666669</v>
      </c>
      <c r="I21" s="2">
        <v>4.0916666666666668</v>
      </c>
      <c r="J21" s="1">
        <v>35.6</v>
      </c>
      <c r="K21" s="1">
        <v>118</v>
      </c>
      <c r="L21" s="1">
        <v>17.2</v>
      </c>
      <c r="Q21" s="2"/>
    </row>
    <row r="22" spans="1:17" x14ac:dyDescent="0.25">
      <c r="A22" t="str">
        <f t="shared" si="0"/>
        <v>W.2.B</v>
      </c>
      <c r="B22" t="s">
        <v>82</v>
      </c>
      <c r="C22">
        <v>2</v>
      </c>
      <c r="D22" t="str">
        <f t="shared" si="1"/>
        <v>W.2</v>
      </c>
      <c r="E22" t="s">
        <v>77</v>
      </c>
      <c r="F22" t="s">
        <v>95</v>
      </c>
      <c r="G22" s="2">
        <v>1.675</v>
      </c>
      <c r="H22" s="2">
        <v>1.9714285714285715</v>
      </c>
      <c r="I22" s="2">
        <v>3.6464285714285714</v>
      </c>
      <c r="J22" s="1">
        <v>35.6</v>
      </c>
      <c r="K22" s="1">
        <v>118</v>
      </c>
      <c r="L22" s="1">
        <v>17.2</v>
      </c>
      <c r="Q22" s="2"/>
    </row>
    <row r="23" spans="1:17" x14ac:dyDescent="0.25">
      <c r="A23" t="str">
        <f t="shared" si="0"/>
        <v>W.2.UB</v>
      </c>
      <c r="B23" t="s">
        <v>82</v>
      </c>
      <c r="C23">
        <v>2</v>
      </c>
      <c r="D23" t="str">
        <f t="shared" si="1"/>
        <v>W.2</v>
      </c>
      <c r="E23" t="s">
        <v>78</v>
      </c>
      <c r="F23" t="s">
        <v>95</v>
      </c>
      <c r="G23" s="2">
        <v>1.675</v>
      </c>
      <c r="H23" s="2">
        <v>1.9714285714285715</v>
      </c>
      <c r="I23" s="2">
        <v>3.6464285714285714</v>
      </c>
      <c r="J23" s="1">
        <v>35.6</v>
      </c>
      <c r="K23" s="1">
        <v>118</v>
      </c>
      <c r="L23" s="1">
        <v>17.2</v>
      </c>
      <c r="Q2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A46C6-ED17-432E-A5AA-FF69C4D1D19F}">
  <dimension ref="A1:H181"/>
  <sheetViews>
    <sheetView workbookViewId="0">
      <selection sqref="A1:H1"/>
    </sheetView>
  </sheetViews>
  <sheetFormatPr defaultRowHeight="15" x14ac:dyDescent="0.25"/>
  <cols>
    <col min="1" max="1" width="10.42578125" bestFit="1" customWidth="1"/>
    <col min="2" max="2" width="9.42578125" bestFit="1" customWidth="1"/>
    <col min="3" max="3" width="12.5703125" bestFit="1" customWidth="1"/>
    <col min="4" max="4" width="14.28515625" bestFit="1" customWidth="1"/>
    <col min="5" max="5" width="18.7109375" bestFit="1" customWidth="1"/>
    <col min="6" max="6" width="16.140625" bestFit="1" customWidth="1"/>
    <col min="7" max="8" width="10.28515625" bestFit="1" customWidth="1"/>
  </cols>
  <sheetData>
    <row r="1" spans="1:8" s="5" customFormat="1" x14ac:dyDescent="0.25">
      <c r="A1" s="5" t="s">
        <v>284</v>
      </c>
      <c r="B1" s="9" t="s">
        <v>285</v>
      </c>
      <c r="C1" s="5" t="s">
        <v>286</v>
      </c>
      <c r="D1" s="5" t="s">
        <v>287</v>
      </c>
      <c r="E1" s="5" t="s">
        <v>317</v>
      </c>
      <c r="F1" s="5" t="s">
        <v>288</v>
      </c>
      <c r="G1" s="5" t="s">
        <v>289</v>
      </c>
      <c r="H1" s="5" t="s">
        <v>290</v>
      </c>
    </row>
    <row r="2" spans="1:8" x14ac:dyDescent="0.25">
      <c r="A2" t="s">
        <v>291</v>
      </c>
      <c r="B2" s="8">
        <v>40662</v>
      </c>
      <c r="C2">
        <v>3</v>
      </c>
      <c r="D2" t="s">
        <v>78</v>
      </c>
      <c r="E2" t="s">
        <v>318</v>
      </c>
      <c r="F2" t="s">
        <v>292</v>
      </c>
      <c r="G2">
        <v>-7</v>
      </c>
      <c r="H2">
        <v>9</v>
      </c>
    </row>
    <row r="3" spans="1:8" x14ac:dyDescent="0.25">
      <c r="A3" t="s">
        <v>291</v>
      </c>
      <c r="B3" s="8">
        <v>40662</v>
      </c>
      <c r="C3">
        <v>3</v>
      </c>
      <c r="D3" t="s">
        <v>78</v>
      </c>
      <c r="E3" t="s">
        <v>318</v>
      </c>
      <c r="F3" t="s">
        <v>292</v>
      </c>
      <c r="G3">
        <v>-8</v>
      </c>
      <c r="H3">
        <v>5</v>
      </c>
    </row>
    <row r="4" spans="1:8" x14ac:dyDescent="0.25">
      <c r="A4" t="s">
        <v>291</v>
      </c>
      <c r="B4" s="8">
        <v>40662</v>
      </c>
      <c r="C4">
        <v>3</v>
      </c>
      <c r="D4" t="s">
        <v>78</v>
      </c>
      <c r="E4" t="s">
        <v>318</v>
      </c>
      <c r="F4" t="s">
        <v>292</v>
      </c>
      <c r="G4">
        <v>2</v>
      </c>
      <c r="H4">
        <v>2</v>
      </c>
    </row>
    <row r="5" spans="1:8" x14ac:dyDescent="0.25">
      <c r="A5" t="s">
        <v>291</v>
      </c>
      <c r="B5" s="8">
        <v>40662</v>
      </c>
      <c r="C5">
        <v>3</v>
      </c>
      <c r="D5" t="s">
        <v>78</v>
      </c>
      <c r="E5" t="s">
        <v>318</v>
      </c>
      <c r="F5" t="s">
        <v>292</v>
      </c>
      <c r="G5">
        <v>7</v>
      </c>
      <c r="H5">
        <v>4</v>
      </c>
    </row>
    <row r="6" spans="1:8" x14ac:dyDescent="0.25">
      <c r="A6" t="s">
        <v>291</v>
      </c>
      <c r="B6" s="8">
        <v>40662</v>
      </c>
      <c r="C6">
        <v>3</v>
      </c>
      <c r="D6" t="s">
        <v>78</v>
      </c>
      <c r="E6" t="s">
        <v>318</v>
      </c>
      <c r="F6" t="s">
        <v>292</v>
      </c>
      <c r="G6">
        <v>-1</v>
      </c>
      <c r="H6">
        <v>0</v>
      </c>
    </row>
    <row r="7" spans="1:8" x14ac:dyDescent="0.25">
      <c r="A7" t="s">
        <v>291</v>
      </c>
      <c r="B7" s="8">
        <v>40662</v>
      </c>
      <c r="C7">
        <v>3</v>
      </c>
      <c r="D7" t="s">
        <v>78</v>
      </c>
      <c r="E7" t="s">
        <v>318</v>
      </c>
      <c r="F7" t="s">
        <v>292</v>
      </c>
      <c r="G7">
        <v>-4</v>
      </c>
      <c r="H7">
        <v>8</v>
      </c>
    </row>
    <row r="8" spans="1:8" x14ac:dyDescent="0.25">
      <c r="A8" t="s">
        <v>291</v>
      </c>
      <c r="B8" s="8">
        <v>40662</v>
      </c>
      <c r="C8">
        <v>3</v>
      </c>
      <c r="D8" t="s">
        <v>78</v>
      </c>
      <c r="E8" t="s">
        <v>318</v>
      </c>
      <c r="F8" t="s">
        <v>292</v>
      </c>
      <c r="G8">
        <v>-1</v>
      </c>
      <c r="H8">
        <v>-3</v>
      </c>
    </row>
    <row r="9" spans="1:8" x14ac:dyDescent="0.25">
      <c r="A9" t="s">
        <v>291</v>
      </c>
      <c r="B9" s="8">
        <v>40662</v>
      </c>
      <c r="C9">
        <v>3</v>
      </c>
      <c r="D9" t="s">
        <v>78</v>
      </c>
      <c r="E9" t="s">
        <v>318</v>
      </c>
      <c r="F9" t="s">
        <v>292</v>
      </c>
      <c r="G9">
        <v>0</v>
      </c>
      <c r="H9">
        <v>-5</v>
      </c>
    </row>
    <row r="10" spans="1:8" x14ac:dyDescent="0.25">
      <c r="A10" t="s">
        <v>291</v>
      </c>
      <c r="B10" s="8">
        <v>40662</v>
      </c>
      <c r="C10">
        <v>3</v>
      </c>
      <c r="D10" t="s">
        <v>78</v>
      </c>
      <c r="E10" t="s">
        <v>318</v>
      </c>
      <c r="F10" t="s">
        <v>292</v>
      </c>
      <c r="G10">
        <v>6</v>
      </c>
      <c r="H10">
        <v>0</v>
      </c>
    </row>
    <row r="11" spans="1:8" x14ac:dyDescent="0.25">
      <c r="A11" t="s">
        <v>291</v>
      </c>
      <c r="B11" s="8">
        <v>40662</v>
      </c>
      <c r="C11">
        <v>3</v>
      </c>
      <c r="D11" t="s">
        <v>78</v>
      </c>
      <c r="E11" t="s">
        <v>318</v>
      </c>
      <c r="F11" t="s">
        <v>292</v>
      </c>
      <c r="G11">
        <v>999</v>
      </c>
      <c r="H11">
        <v>999</v>
      </c>
    </row>
    <row r="12" spans="1:8" x14ac:dyDescent="0.25">
      <c r="A12" t="s">
        <v>291</v>
      </c>
      <c r="B12" s="8">
        <v>40662</v>
      </c>
      <c r="C12">
        <v>3</v>
      </c>
      <c r="D12" t="s">
        <v>77</v>
      </c>
      <c r="E12" t="s">
        <v>318</v>
      </c>
      <c r="F12" t="s">
        <v>293</v>
      </c>
      <c r="G12">
        <v>-7</v>
      </c>
      <c r="H12">
        <v>5</v>
      </c>
    </row>
    <row r="13" spans="1:8" x14ac:dyDescent="0.25">
      <c r="A13" t="s">
        <v>291</v>
      </c>
      <c r="B13" s="8">
        <v>40662</v>
      </c>
      <c r="C13">
        <v>3</v>
      </c>
      <c r="D13" t="s">
        <v>77</v>
      </c>
      <c r="E13" t="s">
        <v>318</v>
      </c>
      <c r="F13" t="s">
        <v>293</v>
      </c>
      <c r="G13">
        <v>-2</v>
      </c>
      <c r="H13">
        <v>6</v>
      </c>
    </row>
    <row r="14" spans="1:8" x14ac:dyDescent="0.25">
      <c r="A14" t="s">
        <v>291</v>
      </c>
      <c r="B14" s="8">
        <v>40662</v>
      </c>
      <c r="C14">
        <v>3</v>
      </c>
      <c r="D14" t="s">
        <v>77</v>
      </c>
      <c r="E14" t="s">
        <v>318</v>
      </c>
      <c r="F14" t="s">
        <v>293</v>
      </c>
      <c r="G14">
        <v>5</v>
      </c>
      <c r="H14">
        <v>0</v>
      </c>
    </row>
    <row r="15" spans="1:8" x14ac:dyDescent="0.25">
      <c r="A15" t="s">
        <v>291</v>
      </c>
      <c r="B15" s="8">
        <v>40662</v>
      </c>
      <c r="C15">
        <v>3</v>
      </c>
      <c r="D15" t="s">
        <v>77</v>
      </c>
      <c r="E15" t="s">
        <v>318</v>
      </c>
      <c r="F15" t="s">
        <v>293</v>
      </c>
      <c r="G15">
        <v>0</v>
      </c>
      <c r="H15">
        <v>5</v>
      </c>
    </row>
    <row r="16" spans="1:8" x14ac:dyDescent="0.25">
      <c r="A16" t="s">
        <v>291</v>
      </c>
      <c r="B16" s="8">
        <v>40662</v>
      </c>
      <c r="C16">
        <v>3</v>
      </c>
      <c r="D16" t="s">
        <v>77</v>
      </c>
      <c r="E16" t="s">
        <v>318</v>
      </c>
      <c r="F16" t="s">
        <v>293</v>
      </c>
      <c r="G16">
        <v>3</v>
      </c>
      <c r="H16">
        <v>0</v>
      </c>
    </row>
    <row r="17" spans="1:8" x14ac:dyDescent="0.25">
      <c r="A17" t="s">
        <v>291</v>
      </c>
      <c r="B17" s="8">
        <v>40662</v>
      </c>
      <c r="C17">
        <v>3</v>
      </c>
      <c r="D17" t="s">
        <v>77</v>
      </c>
      <c r="E17" t="s">
        <v>318</v>
      </c>
      <c r="F17" t="s">
        <v>293</v>
      </c>
      <c r="G17">
        <v>1</v>
      </c>
      <c r="H17">
        <v>-8</v>
      </c>
    </row>
    <row r="18" spans="1:8" x14ac:dyDescent="0.25">
      <c r="A18" t="s">
        <v>291</v>
      </c>
      <c r="B18" s="8">
        <v>40662</v>
      </c>
      <c r="C18">
        <v>3</v>
      </c>
      <c r="D18" t="s">
        <v>77</v>
      </c>
      <c r="E18" t="s">
        <v>318</v>
      </c>
      <c r="F18" t="s">
        <v>293</v>
      </c>
      <c r="G18">
        <v>-3</v>
      </c>
      <c r="H18">
        <v>-2</v>
      </c>
    </row>
    <row r="19" spans="1:8" x14ac:dyDescent="0.25">
      <c r="A19" t="s">
        <v>291</v>
      </c>
      <c r="B19" s="8">
        <v>40662</v>
      </c>
      <c r="C19">
        <v>3</v>
      </c>
      <c r="D19" t="s">
        <v>77</v>
      </c>
      <c r="E19" t="s">
        <v>318</v>
      </c>
      <c r="F19" t="s">
        <v>293</v>
      </c>
      <c r="G19">
        <v>-9</v>
      </c>
      <c r="H19">
        <v>-4</v>
      </c>
    </row>
    <row r="20" spans="1:8" x14ac:dyDescent="0.25">
      <c r="A20" t="s">
        <v>291</v>
      </c>
      <c r="B20" s="8">
        <v>40662</v>
      </c>
      <c r="C20">
        <v>3</v>
      </c>
      <c r="D20" t="s">
        <v>77</v>
      </c>
      <c r="E20" t="s">
        <v>318</v>
      </c>
      <c r="F20" t="s">
        <v>293</v>
      </c>
      <c r="G20">
        <v>4</v>
      </c>
      <c r="H20">
        <v>5</v>
      </c>
    </row>
    <row r="21" spans="1:8" x14ac:dyDescent="0.25">
      <c r="A21" t="s">
        <v>291</v>
      </c>
      <c r="B21" s="8">
        <v>40662</v>
      </c>
      <c r="C21">
        <v>3</v>
      </c>
      <c r="D21" t="s">
        <v>77</v>
      </c>
      <c r="E21" t="s">
        <v>318</v>
      </c>
      <c r="F21" t="s">
        <v>293</v>
      </c>
      <c r="G21">
        <v>-2</v>
      </c>
      <c r="H21">
        <v>9</v>
      </c>
    </row>
    <row r="22" spans="1:8" x14ac:dyDescent="0.25">
      <c r="A22" t="s">
        <v>291</v>
      </c>
      <c r="B22" s="8">
        <v>40662</v>
      </c>
      <c r="C22">
        <v>2</v>
      </c>
      <c r="D22" t="s">
        <v>78</v>
      </c>
      <c r="E22" t="s">
        <v>318</v>
      </c>
      <c r="F22" t="s">
        <v>294</v>
      </c>
      <c r="G22">
        <v>0</v>
      </c>
      <c r="H22">
        <v>6</v>
      </c>
    </row>
    <row r="23" spans="1:8" x14ac:dyDescent="0.25">
      <c r="A23" t="s">
        <v>291</v>
      </c>
      <c r="B23" s="8">
        <v>40662</v>
      </c>
      <c r="C23">
        <v>2</v>
      </c>
      <c r="D23" t="s">
        <v>78</v>
      </c>
      <c r="E23" t="s">
        <v>318</v>
      </c>
      <c r="F23" t="s">
        <v>294</v>
      </c>
      <c r="G23">
        <v>-2</v>
      </c>
      <c r="H23">
        <v>1</v>
      </c>
    </row>
    <row r="24" spans="1:8" x14ac:dyDescent="0.25">
      <c r="A24" t="s">
        <v>291</v>
      </c>
      <c r="B24" s="8">
        <v>40662</v>
      </c>
      <c r="C24">
        <v>2</v>
      </c>
      <c r="D24" t="s">
        <v>78</v>
      </c>
      <c r="E24" t="s">
        <v>318</v>
      </c>
      <c r="F24" t="s">
        <v>294</v>
      </c>
      <c r="G24">
        <v>6</v>
      </c>
      <c r="H24">
        <v>6</v>
      </c>
    </row>
    <row r="25" spans="1:8" x14ac:dyDescent="0.25">
      <c r="A25" t="s">
        <v>291</v>
      </c>
      <c r="B25" s="8">
        <v>40662</v>
      </c>
      <c r="C25">
        <v>2</v>
      </c>
      <c r="D25" t="s">
        <v>78</v>
      </c>
      <c r="E25" t="s">
        <v>318</v>
      </c>
      <c r="F25" t="s">
        <v>294</v>
      </c>
      <c r="G25">
        <v>6</v>
      </c>
      <c r="H25">
        <v>1</v>
      </c>
    </row>
    <row r="26" spans="1:8" x14ac:dyDescent="0.25">
      <c r="A26" t="s">
        <v>291</v>
      </c>
      <c r="B26" s="8">
        <v>40662</v>
      </c>
      <c r="C26">
        <v>2</v>
      </c>
      <c r="D26" t="s">
        <v>78</v>
      </c>
      <c r="E26" t="s">
        <v>318</v>
      </c>
      <c r="F26" t="s">
        <v>294</v>
      </c>
      <c r="G26">
        <v>2</v>
      </c>
      <c r="H26">
        <v>-5</v>
      </c>
    </row>
    <row r="27" spans="1:8" x14ac:dyDescent="0.25">
      <c r="A27" t="s">
        <v>291</v>
      </c>
      <c r="B27" s="8">
        <v>40662</v>
      </c>
      <c r="C27">
        <v>2</v>
      </c>
      <c r="D27" t="s">
        <v>78</v>
      </c>
      <c r="E27" t="s">
        <v>318</v>
      </c>
      <c r="F27" t="s">
        <v>294</v>
      </c>
      <c r="G27">
        <v>0</v>
      </c>
      <c r="H27">
        <v>-1</v>
      </c>
    </row>
    <row r="28" spans="1:8" x14ac:dyDescent="0.25">
      <c r="A28" t="s">
        <v>291</v>
      </c>
      <c r="B28" s="8">
        <v>40662</v>
      </c>
      <c r="C28">
        <v>2</v>
      </c>
      <c r="D28" t="s">
        <v>78</v>
      </c>
      <c r="E28" t="s">
        <v>318</v>
      </c>
      <c r="F28" t="s">
        <v>294</v>
      </c>
      <c r="G28">
        <v>0</v>
      </c>
      <c r="H28">
        <v>-1</v>
      </c>
    </row>
    <row r="29" spans="1:8" x14ac:dyDescent="0.25">
      <c r="A29" t="s">
        <v>291</v>
      </c>
      <c r="B29" s="8">
        <v>40662</v>
      </c>
      <c r="C29">
        <v>2</v>
      </c>
      <c r="D29" t="s">
        <v>78</v>
      </c>
      <c r="E29" t="s">
        <v>318</v>
      </c>
      <c r="F29" t="s">
        <v>294</v>
      </c>
      <c r="G29">
        <v>-2</v>
      </c>
      <c r="H29">
        <v>-8</v>
      </c>
    </row>
    <row r="30" spans="1:8" x14ac:dyDescent="0.25">
      <c r="A30" t="s">
        <v>291</v>
      </c>
      <c r="B30" s="8">
        <v>40662</v>
      </c>
      <c r="C30">
        <v>2</v>
      </c>
      <c r="D30" t="s">
        <v>77</v>
      </c>
      <c r="E30" t="s">
        <v>318</v>
      </c>
      <c r="F30" t="s">
        <v>295</v>
      </c>
      <c r="G30">
        <v>5</v>
      </c>
      <c r="H30">
        <v>6</v>
      </c>
    </row>
    <row r="31" spans="1:8" x14ac:dyDescent="0.25">
      <c r="A31" t="s">
        <v>291</v>
      </c>
      <c r="B31" s="8">
        <v>40662</v>
      </c>
      <c r="C31">
        <v>2</v>
      </c>
      <c r="D31" t="s">
        <v>77</v>
      </c>
      <c r="E31" t="s">
        <v>318</v>
      </c>
      <c r="F31" t="s">
        <v>295</v>
      </c>
      <c r="G31">
        <v>-8</v>
      </c>
      <c r="H31">
        <v>2</v>
      </c>
    </row>
    <row r="32" spans="1:8" x14ac:dyDescent="0.25">
      <c r="A32" t="s">
        <v>291</v>
      </c>
      <c r="B32" s="8">
        <v>40662</v>
      </c>
      <c r="C32">
        <v>2</v>
      </c>
      <c r="D32" t="s">
        <v>77</v>
      </c>
      <c r="E32" t="s">
        <v>318</v>
      </c>
      <c r="F32" t="s">
        <v>295</v>
      </c>
      <c r="G32">
        <v>5</v>
      </c>
      <c r="H32">
        <v>4</v>
      </c>
    </row>
    <row r="33" spans="1:8" x14ac:dyDescent="0.25">
      <c r="A33" t="s">
        <v>291</v>
      </c>
      <c r="B33" s="8">
        <v>40662</v>
      </c>
      <c r="C33">
        <v>2</v>
      </c>
      <c r="D33" t="s">
        <v>77</v>
      </c>
      <c r="E33" t="s">
        <v>318</v>
      </c>
      <c r="F33" t="s">
        <v>295</v>
      </c>
      <c r="G33">
        <v>9</v>
      </c>
      <c r="H33">
        <v>3</v>
      </c>
    </row>
    <row r="34" spans="1:8" x14ac:dyDescent="0.25">
      <c r="A34" t="s">
        <v>291</v>
      </c>
      <c r="B34" s="8">
        <v>40662</v>
      </c>
      <c r="C34">
        <v>2</v>
      </c>
      <c r="D34" t="s">
        <v>77</v>
      </c>
      <c r="E34" t="s">
        <v>318</v>
      </c>
      <c r="F34" t="s">
        <v>295</v>
      </c>
      <c r="G34">
        <v>-5</v>
      </c>
      <c r="H34">
        <v>7</v>
      </c>
    </row>
    <row r="35" spans="1:8" x14ac:dyDescent="0.25">
      <c r="A35" t="s">
        <v>291</v>
      </c>
      <c r="B35" s="8">
        <v>40662</v>
      </c>
      <c r="C35">
        <v>2</v>
      </c>
      <c r="D35" t="s">
        <v>77</v>
      </c>
      <c r="E35" t="s">
        <v>318</v>
      </c>
      <c r="F35" t="s">
        <v>295</v>
      </c>
      <c r="G35">
        <v>0</v>
      </c>
      <c r="H35">
        <v>-3</v>
      </c>
    </row>
    <row r="36" spans="1:8" x14ac:dyDescent="0.25">
      <c r="A36" t="s">
        <v>291</v>
      </c>
      <c r="B36" s="8">
        <v>40662</v>
      </c>
      <c r="C36">
        <v>2</v>
      </c>
      <c r="D36" t="s">
        <v>77</v>
      </c>
      <c r="E36" t="s">
        <v>318</v>
      </c>
      <c r="F36" t="s">
        <v>295</v>
      </c>
      <c r="G36">
        <v>-7</v>
      </c>
      <c r="H36">
        <v>-7</v>
      </c>
    </row>
    <row r="37" spans="1:8" x14ac:dyDescent="0.25">
      <c r="A37" t="s">
        <v>291</v>
      </c>
      <c r="B37" s="8">
        <v>40662</v>
      </c>
      <c r="C37">
        <v>2</v>
      </c>
      <c r="D37" t="s">
        <v>77</v>
      </c>
      <c r="E37" t="s">
        <v>318</v>
      </c>
      <c r="F37" t="s">
        <v>295</v>
      </c>
      <c r="G37">
        <v>0</v>
      </c>
      <c r="H37">
        <v>-2</v>
      </c>
    </row>
    <row r="38" spans="1:8" x14ac:dyDescent="0.25">
      <c r="A38" t="s">
        <v>296</v>
      </c>
      <c r="B38" s="8">
        <v>40642</v>
      </c>
      <c r="C38">
        <v>1</v>
      </c>
      <c r="D38" t="s">
        <v>77</v>
      </c>
      <c r="E38" t="s">
        <v>318</v>
      </c>
      <c r="F38" t="s">
        <v>297</v>
      </c>
      <c r="G38">
        <v>-2</v>
      </c>
      <c r="H38">
        <v>5</v>
      </c>
    </row>
    <row r="39" spans="1:8" x14ac:dyDescent="0.25">
      <c r="A39" t="s">
        <v>296</v>
      </c>
      <c r="B39" s="8">
        <v>40642</v>
      </c>
      <c r="C39">
        <v>1</v>
      </c>
      <c r="D39" t="s">
        <v>77</v>
      </c>
      <c r="E39" t="s">
        <v>318</v>
      </c>
      <c r="F39" t="s">
        <v>297</v>
      </c>
      <c r="G39">
        <v>-8</v>
      </c>
      <c r="H39">
        <v>0</v>
      </c>
    </row>
    <row r="40" spans="1:8" x14ac:dyDescent="0.25">
      <c r="A40" t="s">
        <v>296</v>
      </c>
      <c r="B40" s="8">
        <v>40642</v>
      </c>
      <c r="C40">
        <v>1</v>
      </c>
      <c r="D40" t="s">
        <v>77</v>
      </c>
      <c r="E40" t="s">
        <v>318</v>
      </c>
      <c r="F40" t="s">
        <v>297</v>
      </c>
      <c r="G40">
        <v>-9</v>
      </c>
      <c r="H40">
        <v>1</v>
      </c>
    </row>
    <row r="41" spans="1:8" x14ac:dyDescent="0.25">
      <c r="A41" t="s">
        <v>296</v>
      </c>
      <c r="B41" s="8">
        <v>40642</v>
      </c>
      <c r="C41">
        <v>1</v>
      </c>
      <c r="D41" t="s">
        <v>77</v>
      </c>
      <c r="E41" t="s">
        <v>318</v>
      </c>
      <c r="F41" t="s">
        <v>297</v>
      </c>
      <c r="G41">
        <v>3</v>
      </c>
      <c r="H41">
        <v>5</v>
      </c>
    </row>
    <row r="42" spans="1:8" x14ac:dyDescent="0.25">
      <c r="A42" t="s">
        <v>296</v>
      </c>
      <c r="B42" s="8">
        <v>40642</v>
      </c>
      <c r="C42">
        <v>1</v>
      </c>
      <c r="D42" t="s">
        <v>77</v>
      </c>
      <c r="E42" t="s">
        <v>318</v>
      </c>
      <c r="F42" t="s">
        <v>297</v>
      </c>
      <c r="G42">
        <v>3</v>
      </c>
      <c r="H42">
        <v>5</v>
      </c>
    </row>
    <row r="43" spans="1:8" x14ac:dyDescent="0.25">
      <c r="A43" t="s">
        <v>296</v>
      </c>
      <c r="B43" s="8">
        <v>40642</v>
      </c>
      <c r="C43">
        <v>1</v>
      </c>
      <c r="D43" t="s">
        <v>77</v>
      </c>
      <c r="E43" t="s">
        <v>318</v>
      </c>
      <c r="F43" t="s">
        <v>297</v>
      </c>
      <c r="G43">
        <v>8</v>
      </c>
      <c r="H43">
        <v>-7</v>
      </c>
    </row>
    <row r="44" spans="1:8" x14ac:dyDescent="0.25">
      <c r="A44" t="s">
        <v>296</v>
      </c>
      <c r="B44" s="8">
        <v>40642</v>
      </c>
      <c r="C44">
        <v>1</v>
      </c>
      <c r="D44" t="s">
        <v>77</v>
      </c>
      <c r="E44" t="s">
        <v>318</v>
      </c>
      <c r="F44" t="s">
        <v>297</v>
      </c>
      <c r="G44">
        <v>-5</v>
      </c>
      <c r="H44">
        <v>-1</v>
      </c>
    </row>
    <row r="45" spans="1:8" x14ac:dyDescent="0.25">
      <c r="A45" t="s">
        <v>296</v>
      </c>
      <c r="B45" s="8">
        <v>40642</v>
      </c>
      <c r="C45">
        <v>1</v>
      </c>
      <c r="D45" t="s">
        <v>77</v>
      </c>
      <c r="E45" t="s">
        <v>318</v>
      </c>
      <c r="F45" t="s">
        <v>297</v>
      </c>
      <c r="G45">
        <v>-2</v>
      </c>
      <c r="H45">
        <v>-7</v>
      </c>
    </row>
    <row r="46" spans="1:8" x14ac:dyDescent="0.25">
      <c r="A46" t="s">
        <v>296</v>
      </c>
      <c r="B46" s="8">
        <v>40642</v>
      </c>
      <c r="C46">
        <v>1</v>
      </c>
      <c r="D46" t="s">
        <v>78</v>
      </c>
      <c r="E46" t="s">
        <v>318</v>
      </c>
      <c r="F46" t="s">
        <v>298</v>
      </c>
      <c r="G46">
        <v>-1</v>
      </c>
      <c r="H46">
        <v>1</v>
      </c>
    </row>
    <row r="47" spans="1:8" x14ac:dyDescent="0.25">
      <c r="A47" t="s">
        <v>296</v>
      </c>
      <c r="B47" s="8">
        <v>40642</v>
      </c>
      <c r="C47">
        <v>1</v>
      </c>
      <c r="D47" t="s">
        <v>78</v>
      </c>
      <c r="E47" t="s">
        <v>318</v>
      </c>
      <c r="F47" t="s">
        <v>298</v>
      </c>
      <c r="G47">
        <v>-3</v>
      </c>
      <c r="H47">
        <v>9</v>
      </c>
    </row>
    <row r="48" spans="1:8" x14ac:dyDescent="0.25">
      <c r="A48" t="s">
        <v>296</v>
      </c>
      <c r="B48" s="8">
        <v>40642</v>
      </c>
      <c r="C48">
        <v>1</v>
      </c>
      <c r="D48" t="s">
        <v>78</v>
      </c>
      <c r="E48" t="s">
        <v>318</v>
      </c>
      <c r="F48" t="s">
        <v>298</v>
      </c>
      <c r="G48">
        <v>2</v>
      </c>
      <c r="H48">
        <v>0</v>
      </c>
    </row>
    <row r="49" spans="1:8" x14ac:dyDescent="0.25">
      <c r="A49" t="s">
        <v>296</v>
      </c>
      <c r="B49" s="8">
        <v>40642</v>
      </c>
      <c r="C49">
        <v>1</v>
      </c>
      <c r="D49" t="s">
        <v>78</v>
      </c>
      <c r="E49" t="s">
        <v>318</v>
      </c>
      <c r="F49" t="s">
        <v>298</v>
      </c>
      <c r="G49">
        <v>9</v>
      </c>
      <c r="H49">
        <v>9</v>
      </c>
    </row>
    <row r="50" spans="1:8" x14ac:dyDescent="0.25">
      <c r="A50" t="s">
        <v>296</v>
      </c>
      <c r="B50" s="8">
        <v>40642</v>
      </c>
      <c r="C50">
        <v>1</v>
      </c>
      <c r="D50" t="s">
        <v>78</v>
      </c>
      <c r="E50" t="s">
        <v>318</v>
      </c>
      <c r="F50" t="s">
        <v>298</v>
      </c>
      <c r="G50">
        <v>1</v>
      </c>
      <c r="H50">
        <v>-6</v>
      </c>
    </row>
    <row r="51" spans="1:8" x14ac:dyDescent="0.25">
      <c r="A51" t="s">
        <v>296</v>
      </c>
      <c r="B51" s="8">
        <v>40642</v>
      </c>
      <c r="C51">
        <v>1</v>
      </c>
      <c r="D51" t="s">
        <v>78</v>
      </c>
      <c r="E51" t="s">
        <v>318</v>
      </c>
      <c r="F51" t="s">
        <v>298</v>
      </c>
      <c r="G51">
        <v>6</v>
      </c>
      <c r="H51">
        <v>-8</v>
      </c>
    </row>
    <row r="52" spans="1:8" x14ac:dyDescent="0.25">
      <c r="A52" t="s">
        <v>296</v>
      </c>
      <c r="B52" s="8">
        <v>40642</v>
      </c>
      <c r="C52">
        <v>1</v>
      </c>
      <c r="D52" t="s">
        <v>78</v>
      </c>
      <c r="E52" t="s">
        <v>318</v>
      </c>
      <c r="F52" t="s">
        <v>298</v>
      </c>
      <c r="G52">
        <v>-8</v>
      </c>
      <c r="H52">
        <v>-4</v>
      </c>
    </row>
    <row r="53" spans="1:8" x14ac:dyDescent="0.25">
      <c r="A53" t="s">
        <v>296</v>
      </c>
      <c r="B53" s="8">
        <v>40642</v>
      </c>
      <c r="C53">
        <v>1</v>
      </c>
      <c r="D53" t="s">
        <v>78</v>
      </c>
      <c r="E53" t="s">
        <v>318</v>
      </c>
      <c r="F53" t="s">
        <v>298</v>
      </c>
      <c r="G53">
        <v>-7</v>
      </c>
      <c r="H53">
        <v>-1</v>
      </c>
    </row>
    <row r="54" spans="1:8" x14ac:dyDescent="0.25">
      <c r="A54" t="s">
        <v>296</v>
      </c>
      <c r="B54" s="8">
        <v>40642</v>
      </c>
      <c r="C54">
        <v>2</v>
      </c>
      <c r="D54" t="s">
        <v>77</v>
      </c>
      <c r="E54" t="s">
        <v>318</v>
      </c>
      <c r="F54" t="s">
        <v>299</v>
      </c>
      <c r="G54">
        <v>-3</v>
      </c>
      <c r="H54">
        <v>3</v>
      </c>
    </row>
    <row r="55" spans="1:8" x14ac:dyDescent="0.25">
      <c r="A55" t="s">
        <v>296</v>
      </c>
      <c r="B55" s="8">
        <v>40642</v>
      </c>
      <c r="C55">
        <v>2</v>
      </c>
      <c r="D55" t="s">
        <v>77</v>
      </c>
      <c r="E55" t="s">
        <v>318</v>
      </c>
      <c r="F55" t="s">
        <v>299</v>
      </c>
      <c r="G55">
        <v>-3</v>
      </c>
      <c r="H55">
        <v>0</v>
      </c>
    </row>
    <row r="56" spans="1:8" x14ac:dyDescent="0.25">
      <c r="A56" t="s">
        <v>296</v>
      </c>
      <c r="B56" s="8">
        <v>40642</v>
      </c>
      <c r="C56">
        <v>2</v>
      </c>
      <c r="D56" t="s">
        <v>77</v>
      </c>
      <c r="E56" t="s">
        <v>318</v>
      </c>
      <c r="F56" t="s">
        <v>299</v>
      </c>
      <c r="G56">
        <v>6</v>
      </c>
      <c r="H56">
        <v>3</v>
      </c>
    </row>
    <row r="57" spans="1:8" x14ac:dyDescent="0.25">
      <c r="A57" t="s">
        <v>296</v>
      </c>
      <c r="B57" s="8">
        <v>40642</v>
      </c>
      <c r="C57">
        <v>2</v>
      </c>
      <c r="D57" t="s">
        <v>77</v>
      </c>
      <c r="E57" t="s">
        <v>318</v>
      </c>
      <c r="F57" t="s">
        <v>299</v>
      </c>
      <c r="G57">
        <v>6</v>
      </c>
      <c r="H57">
        <v>7</v>
      </c>
    </row>
    <row r="58" spans="1:8" x14ac:dyDescent="0.25">
      <c r="A58" t="s">
        <v>296</v>
      </c>
      <c r="B58" s="8">
        <v>40642</v>
      </c>
      <c r="C58">
        <v>2</v>
      </c>
      <c r="D58" t="s">
        <v>77</v>
      </c>
      <c r="E58" t="s">
        <v>318</v>
      </c>
      <c r="F58" t="s">
        <v>299</v>
      </c>
      <c r="G58">
        <v>4</v>
      </c>
      <c r="H58">
        <v>-6</v>
      </c>
    </row>
    <row r="59" spans="1:8" x14ac:dyDescent="0.25">
      <c r="A59" t="s">
        <v>296</v>
      </c>
      <c r="B59" s="8">
        <v>40642</v>
      </c>
      <c r="C59">
        <v>2</v>
      </c>
      <c r="D59" t="s">
        <v>77</v>
      </c>
      <c r="E59" t="s">
        <v>318</v>
      </c>
      <c r="F59" t="s">
        <v>299</v>
      </c>
      <c r="G59">
        <v>0</v>
      </c>
      <c r="H59">
        <v>-2</v>
      </c>
    </row>
    <row r="60" spans="1:8" x14ac:dyDescent="0.25">
      <c r="A60" t="s">
        <v>296</v>
      </c>
      <c r="B60" s="8">
        <v>40642</v>
      </c>
      <c r="C60">
        <v>2</v>
      </c>
      <c r="D60" t="s">
        <v>77</v>
      </c>
      <c r="E60" t="s">
        <v>318</v>
      </c>
      <c r="F60" t="s">
        <v>299</v>
      </c>
      <c r="G60">
        <v>-6</v>
      </c>
      <c r="H60">
        <v>-4</v>
      </c>
    </row>
    <row r="61" spans="1:8" x14ac:dyDescent="0.25">
      <c r="A61" t="s">
        <v>296</v>
      </c>
      <c r="B61" s="8">
        <v>40642</v>
      </c>
      <c r="C61">
        <v>2</v>
      </c>
      <c r="D61" t="s">
        <v>77</v>
      </c>
      <c r="E61" t="s">
        <v>318</v>
      </c>
      <c r="F61" t="s">
        <v>299</v>
      </c>
      <c r="G61">
        <v>-3</v>
      </c>
      <c r="H61">
        <v>-8</v>
      </c>
    </row>
    <row r="62" spans="1:8" x14ac:dyDescent="0.25">
      <c r="A62" t="s">
        <v>296</v>
      </c>
      <c r="B62" s="8">
        <v>40642</v>
      </c>
      <c r="C62">
        <v>2</v>
      </c>
      <c r="D62" t="s">
        <v>78</v>
      </c>
      <c r="E62" t="s">
        <v>318</v>
      </c>
      <c r="F62" t="s">
        <v>300</v>
      </c>
      <c r="G62">
        <v>-1</v>
      </c>
      <c r="H62">
        <v>0</v>
      </c>
    </row>
    <row r="63" spans="1:8" x14ac:dyDescent="0.25">
      <c r="A63" t="s">
        <v>296</v>
      </c>
      <c r="B63" s="8">
        <v>40642</v>
      </c>
      <c r="C63">
        <v>2</v>
      </c>
      <c r="D63" t="s">
        <v>78</v>
      </c>
      <c r="E63" t="s">
        <v>318</v>
      </c>
      <c r="F63" t="s">
        <v>300</v>
      </c>
      <c r="G63">
        <v>-1</v>
      </c>
      <c r="H63">
        <v>3</v>
      </c>
    </row>
    <row r="64" spans="1:8" x14ac:dyDescent="0.25">
      <c r="A64" t="s">
        <v>296</v>
      </c>
      <c r="B64" s="8">
        <v>40642</v>
      </c>
      <c r="C64">
        <v>2</v>
      </c>
      <c r="D64" t="s">
        <v>78</v>
      </c>
      <c r="E64" t="s">
        <v>318</v>
      </c>
      <c r="F64" t="s">
        <v>300</v>
      </c>
      <c r="G64">
        <v>5</v>
      </c>
      <c r="H64">
        <v>8</v>
      </c>
    </row>
    <row r="65" spans="1:8" x14ac:dyDescent="0.25">
      <c r="A65" t="s">
        <v>296</v>
      </c>
      <c r="B65" s="8">
        <v>40642</v>
      </c>
      <c r="C65">
        <v>2</v>
      </c>
      <c r="D65" t="s">
        <v>78</v>
      </c>
      <c r="E65" t="s">
        <v>318</v>
      </c>
      <c r="F65" t="s">
        <v>300</v>
      </c>
      <c r="G65">
        <v>0</v>
      </c>
      <c r="H65">
        <v>8</v>
      </c>
    </row>
    <row r="66" spans="1:8" x14ac:dyDescent="0.25">
      <c r="A66" t="s">
        <v>296</v>
      </c>
      <c r="B66" s="8">
        <v>40642</v>
      </c>
      <c r="C66">
        <v>2</v>
      </c>
      <c r="D66" t="s">
        <v>78</v>
      </c>
      <c r="E66" t="s">
        <v>318</v>
      </c>
      <c r="F66" t="s">
        <v>300</v>
      </c>
      <c r="G66">
        <v>4</v>
      </c>
      <c r="H66">
        <v>-8</v>
      </c>
    </row>
    <row r="67" spans="1:8" x14ac:dyDescent="0.25">
      <c r="A67" t="s">
        <v>296</v>
      </c>
      <c r="B67" s="8">
        <v>40642</v>
      </c>
      <c r="C67">
        <v>2</v>
      </c>
      <c r="D67" t="s">
        <v>78</v>
      </c>
      <c r="E67" t="s">
        <v>318</v>
      </c>
      <c r="F67" t="s">
        <v>300</v>
      </c>
      <c r="G67">
        <v>1</v>
      </c>
      <c r="H67">
        <v>-4</v>
      </c>
    </row>
    <row r="68" spans="1:8" x14ac:dyDescent="0.25">
      <c r="A68" t="s">
        <v>296</v>
      </c>
      <c r="B68" s="8">
        <v>40642</v>
      </c>
      <c r="C68">
        <v>2</v>
      </c>
      <c r="D68" t="s">
        <v>78</v>
      </c>
      <c r="E68" t="s">
        <v>318</v>
      </c>
      <c r="F68" t="s">
        <v>300</v>
      </c>
      <c r="G68">
        <v>-6</v>
      </c>
      <c r="H68">
        <v>-8</v>
      </c>
    </row>
    <row r="69" spans="1:8" x14ac:dyDescent="0.25">
      <c r="A69" t="s">
        <v>296</v>
      </c>
      <c r="B69" s="8">
        <v>40642</v>
      </c>
      <c r="C69">
        <v>2</v>
      </c>
      <c r="D69" t="s">
        <v>78</v>
      </c>
      <c r="E69" t="s">
        <v>318</v>
      </c>
      <c r="F69" t="s">
        <v>300</v>
      </c>
      <c r="G69">
        <v>0</v>
      </c>
      <c r="H69">
        <v>-7</v>
      </c>
    </row>
    <row r="70" spans="1:8" x14ac:dyDescent="0.25">
      <c r="A70" t="s">
        <v>301</v>
      </c>
      <c r="B70" s="8">
        <v>40663</v>
      </c>
      <c r="C70">
        <v>1</v>
      </c>
      <c r="D70" t="s">
        <v>78</v>
      </c>
      <c r="E70" t="s">
        <v>318</v>
      </c>
      <c r="F70" t="s">
        <v>302</v>
      </c>
      <c r="G70">
        <v>7</v>
      </c>
      <c r="H70">
        <v>3</v>
      </c>
    </row>
    <row r="71" spans="1:8" x14ac:dyDescent="0.25">
      <c r="A71" t="s">
        <v>301</v>
      </c>
      <c r="B71" s="8">
        <v>40663</v>
      </c>
      <c r="C71">
        <v>1</v>
      </c>
      <c r="D71" t="s">
        <v>78</v>
      </c>
      <c r="E71" t="s">
        <v>318</v>
      </c>
      <c r="F71" t="s">
        <v>302</v>
      </c>
      <c r="G71">
        <v>0</v>
      </c>
      <c r="H71">
        <v>2</v>
      </c>
    </row>
    <row r="72" spans="1:8" x14ac:dyDescent="0.25">
      <c r="A72" t="s">
        <v>301</v>
      </c>
      <c r="B72" s="8">
        <v>40663</v>
      </c>
      <c r="C72">
        <v>1</v>
      </c>
      <c r="D72" t="s">
        <v>78</v>
      </c>
      <c r="E72" t="s">
        <v>318</v>
      </c>
      <c r="F72" t="s">
        <v>302</v>
      </c>
      <c r="G72">
        <v>9</v>
      </c>
      <c r="H72">
        <v>7</v>
      </c>
    </row>
    <row r="73" spans="1:8" x14ac:dyDescent="0.25">
      <c r="A73" t="s">
        <v>301</v>
      </c>
      <c r="B73" s="8">
        <v>40663</v>
      </c>
      <c r="C73">
        <v>1</v>
      </c>
      <c r="D73" t="s">
        <v>78</v>
      </c>
      <c r="E73" t="s">
        <v>318</v>
      </c>
      <c r="F73" t="s">
        <v>302</v>
      </c>
      <c r="G73">
        <v>4</v>
      </c>
      <c r="H73">
        <v>0</v>
      </c>
    </row>
    <row r="74" spans="1:8" x14ac:dyDescent="0.25">
      <c r="A74" t="s">
        <v>301</v>
      </c>
      <c r="B74" s="8">
        <v>40663</v>
      </c>
      <c r="C74">
        <v>1</v>
      </c>
      <c r="D74" t="s">
        <v>78</v>
      </c>
      <c r="E74" t="s">
        <v>318</v>
      </c>
      <c r="F74" t="s">
        <v>302</v>
      </c>
      <c r="G74">
        <v>5</v>
      </c>
      <c r="H74">
        <v>-7</v>
      </c>
    </row>
    <row r="75" spans="1:8" x14ac:dyDescent="0.25">
      <c r="A75" t="s">
        <v>301</v>
      </c>
      <c r="B75" s="8">
        <v>40663</v>
      </c>
      <c r="C75">
        <v>1</v>
      </c>
      <c r="D75" t="s">
        <v>78</v>
      </c>
      <c r="E75" t="s">
        <v>318</v>
      </c>
      <c r="F75" t="s">
        <v>302</v>
      </c>
      <c r="G75">
        <v>5</v>
      </c>
      <c r="H75">
        <v>0</v>
      </c>
    </row>
    <row r="76" spans="1:8" x14ac:dyDescent="0.25">
      <c r="A76" t="s">
        <v>301</v>
      </c>
      <c r="B76" s="8">
        <v>40663</v>
      </c>
      <c r="C76">
        <v>1</v>
      </c>
      <c r="D76" t="s">
        <v>78</v>
      </c>
      <c r="E76" t="s">
        <v>318</v>
      </c>
      <c r="F76" t="s">
        <v>302</v>
      </c>
      <c r="G76">
        <v>-1</v>
      </c>
      <c r="H76">
        <v>-9</v>
      </c>
    </row>
    <row r="77" spans="1:8" x14ac:dyDescent="0.25">
      <c r="A77" t="s">
        <v>301</v>
      </c>
      <c r="B77" s="8">
        <v>40663</v>
      </c>
      <c r="C77">
        <v>1</v>
      </c>
      <c r="D77" t="s">
        <v>78</v>
      </c>
      <c r="E77" t="s">
        <v>318</v>
      </c>
      <c r="F77" t="s">
        <v>302</v>
      </c>
      <c r="G77">
        <v>6</v>
      </c>
      <c r="H77">
        <v>-4</v>
      </c>
    </row>
    <row r="78" spans="1:8" x14ac:dyDescent="0.25">
      <c r="A78" t="s">
        <v>301</v>
      </c>
      <c r="B78" s="8">
        <v>40663</v>
      </c>
      <c r="C78">
        <v>1</v>
      </c>
      <c r="D78" t="s">
        <v>77</v>
      </c>
      <c r="E78" t="s">
        <v>318</v>
      </c>
      <c r="F78" t="s">
        <v>303</v>
      </c>
      <c r="G78">
        <v>-5</v>
      </c>
      <c r="H78">
        <v>4</v>
      </c>
    </row>
    <row r="79" spans="1:8" x14ac:dyDescent="0.25">
      <c r="A79" t="s">
        <v>301</v>
      </c>
      <c r="B79" s="8">
        <v>40663</v>
      </c>
      <c r="C79">
        <v>1</v>
      </c>
      <c r="D79" t="s">
        <v>77</v>
      </c>
      <c r="E79" t="s">
        <v>318</v>
      </c>
      <c r="F79" t="s">
        <v>303</v>
      </c>
      <c r="G79">
        <v>-1</v>
      </c>
      <c r="H79">
        <v>7</v>
      </c>
    </row>
    <row r="80" spans="1:8" x14ac:dyDescent="0.25">
      <c r="A80" t="s">
        <v>301</v>
      </c>
      <c r="B80" s="8">
        <v>40663</v>
      </c>
      <c r="C80">
        <v>1</v>
      </c>
      <c r="D80" t="s">
        <v>77</v>
      </c>
      <c r="E80" t="s">
        <v>318</v>
      </c>
      <c r="F80" t="s">
        <v>303</v>
      </c>
      <c r="G80">
        <v>6</v>
      </c>
      <c r="H80">
        <v>2</v>
      </c>
    </row>
    <row r="81" spans="1:8" x14ac:dyDescent="0.25">
      <c r="A81" t="s">
        <v>301</v>
      </c>
      <c r="B81" s="8">
        <v>40663</v>
      </c>
      <c r="C81">
        <v>1</v>
      </c>
      <c r="D81" t="s">
        <v>77</v>
      </c>
      <c r="E81" t="s">
        <v>318</v>
      </c>
      <c r="F81" t="s">
        <v>303</v>
      </c>
      <c r="G81">
        <v>6</v>
      </c>
      <c r="H81">
        <v>3</v>
      </c>
    </row>
    <row r="82" spans="1:8" x14ac:dyDescent="0.25">
      <c r="A82" t="s">
        <v>301</v>
      </c>
      <c r="B82" s="8">
        <v>40663</v>
      </c>
      <c r="C82">
        <v>1</v>
      </c>
      <c r="D82" t="s">
        <v>77</v>
      </c>
      <c r="E82" t="s">
        <v>318</v>
      </c>
      <c r="F82" t="s">
        <v>303</v>
      </c>
      <c r="G82">
        <v>0</v>
      </c>
      <c r="H82">
        <v>-3</v>
      </c>
    </row>
    <row r="83" spans="1:8" x14ac:dyDescent="0.25">
      <c r="A83" t="s">
        <v>301</v>
      </c>
      <c r="B83" s="8">
        <v>40663</v>
      </c>
      <c r="C83">
        <v>1</v>
      </c>
      <c r="D83" t="s">
        <v>77</v>
      </c>
      <c r="E83" t="s">
        <v>318</v>
      </c>
      <c r="F83" t="s">
        <v>303</v>
      </c>
      <c r="G83">
        <v>9</v>
      </c>
      <c r="H83">
        <v>-5</v>
      </c>
    </row>
    <row r="84" spans="1:8" x14ac:dyDescent="0.25">
      <c r="A84" t="s">
        <v>301</v>
      </c>
      <c r="B84" s="8">
        <v>40663</v>
      </c>
      <c r="C84">
        <v>1</v>
      </c>
      <c r="D84" t="s">
        <v>77</v>
      </c>
      <c r="E84" t="s">
        <v>318</v>
      </c>
      <c r="F84" t="s">
        <v>303</v>
      </c>
      <c r="G84">
        <v>-5</v>
      </c>
      <c r="H84">
        <v>-1</v>
      </c>
    </row>
    <row r="85" spans="1:8" x14ac:dyDescent="0.25">
      <c r="A85" t="s">
        <v>301</v>
      </c>
      <c r="B85" s="8">
        <v>40663</v>
      </c>
      <c r="C85">
        <v>1</v>
      </c>
      <c r="D85" t="s">
        <v>77</v>
      </c>
      <c r="E85" t="s">
        <v>318</v>
      </c>
      <c r="F85" t="s">
        <v>303</v>
      </c>
      <c r="G85">
        <v>-7</v>
      </c>
      <c r="H85">
        <v>0</v>
      </c>
    </row>
    <row r="86" spans="1:8" x14ac:dyDescent="0.25">
      <c r="A86" t="s">
        <v>301</v>
      </c>
      <c r="B86" s="8">
        <v>40663</v>
      </c>
      <c r="C86">
        <v>2</v>
      </c>
      <c r="D86" t="s">
        <v>78</v>
      </c>
      <c r="E86" t="s">
        <v>318</v>
      </c>
      <c r="F86" t="s">
        <v>304</v>
      </c>
      <c r="G86">
        <v>0</v>
      </c>
      <c r="H86">
        <v>3</v>
      </c>
    </row>
    <row r="87" spans="1:8" x14ac:dyDescent="0.25">
      <c r="A87" t="s">
        <v>301</v>
      </c>
      <c r="B87" s="8">
        <v>40663</v>
      </c>
      <c r="C87">
        <v>2</v>
      </c>
      <c r="D87" t="s">
        <v>78</v>
      </c>
      <c r="E87" t="s">
        <v>318</v>
      </c>
      <c r="F87" t="s">
        <v>304</v>
      </c>
      <c r="G87">
        <v>-2</v>
      </c>
      <c r="H87">
        <v>2</v>
      </c>
    </row>
    <row r="88" spans="1:8" x14ac:dyDescent="0.25">
      <c r="A88" t="s">
        <v>301</v>
      </c>
      <c r="B88" s="8">
        <v>40663</v>
      </c>
      <c r="C88">
        <v>2</v>
      </c>
      <c r="D88" t="s">
        <v>78</v>
      </c>
      <c r="E88" t="s">
        <v>318</v>
      </c>
      <c r="F88" t="s">
        <v>304</v>
      </c>
      <c r="G88">
        <v>4</v>
      </c>
      <c r="H88">
        <v>5</v>
      </c>
    </row>
    <row r="89" spans="1:8" x14ac:dyDescent="0.25">
      <c r="A89" t="s">
        <v>301</v>
      </c>
      <c r="B89" s="8">
        <v>40663</v>
      </c>
      <c r="C89">
        <v>2</v>
      </c>
      <c r="D89" t="s">
        <v>78</v>
      </c>
      <c r="E89" t="s">
        <v>318</v>
      </c>
      <c r="F89" t="s">
        <v>304</v>
      </c>
      <c r="G89">
        <v>4</v>
      </c>
      <c r="H89">
        <v>1</v>
      </c>
    </row>
    <row r="90" spans="1:8" x14ac:dyDescent="0.25">
      <c r="A90" t="s">
        <v>301</v>
      </c>
      <c r="B90" s="8">
        <v>40663</v>
      </c>
      <c r="C90">
        <v>2</v>
      </c>
      <c r="D90" t="s">
        <v>78</v>
      </c>
      <c r="E90" t="s">
        <v>318</v>
      </c>
      <c r="F90" t="s">
        <v>304</v>
      </c>
      <c r="G90">
        <v>5</v>
      </c>
      <c r="H90">
        <v>-3</v>
      </c>
    </row>
    <row r="91" spans="1:8" x14ac:dyDescent="0.25">
      <c r="A91" t="s">
        <v>301</v>
      </c>
      <c r="B91" s="8">
        <v>40663</v>
      </c>
      <c r="C91">
        <v>2</v>
      </c>
      <c r="D91" t="s">
        <v>78</v>
      </c>
      <c r="E91" t="s">
        <v>318</v>
      </c>
      <c r="F91" t="s">
        <v>304</v>
      </c>
      <c r="G91">
        <v>9</v>
      </c>
      <c r="H91">
        <v>0</v>
      </c>
    </row>
    <row r="92" spans="1:8" x14ac:dyDescent="0.25">
      <c r="A92" t="s">
        <v>301</v>
      </c>
      <c r="B92" s="8">
        <v>40663</v>
      </c>
      <c r="C92">
        <v>2</v>
      </c>
      <c r="D92" t="s">
        <v>78</v>
      </c>
      <c r="E92" t="s">
        <v>318</v>
      </c>
      <c r="F92" t="s">
        <v>304</v>
      </c>
      <c r="G92">
        <v>-4</v>
      </c>
      <c r="H92">
        <v>-9</v>
      </c>
    </row>
    <row r="93" spans="1:8" x14ac:dyDescent="0.25">
      <c r="A93" t="s">
        <v>301</v>
      </c>
      <c r="B93" s="8">
        <v>40663</v>
      </c>
      <c r="C93">
        <v>2</v>
      </c>
      <c r="D93" t="s">
        <v>78</v>
      </c>
      <c r="E93" t="s">
        <v>318</v>
      </c>
      <c r="F93" t="s">
        <v>304</v>
      </c>
      <c r="G93">
        <v>-3</v>
      </c>
      <c r="H93">
        <v>-3</v>
      </c>
    </row>
    <row r="94" spans="1:8" x14ac:dyDescent="0.25">
      <c r="A94" t="s">
        <v>301</v>
      </c>
      <c r="B94" s="8">
        <v>40663</v>
      </c>
      <c r="C94">
        <v>2</v>
      </c>
      <c r="D94" t="s">
        <v>77</v>
      </c>
      <c r="E94" t="s">
        <v>318</v>
      </c>
      <c r="F94" t="s">
        <v>305</v>
      </c>
      <c r="G94">
        <v>0</v>
      </c>
      <c r="H94">
        <v>4</v>
      </c>
    </row>
    <row r="95" spans="1:8" x14ac:dyDescent="0.25">
      <c r="A95" t="s">
        <v>301</v>
      </c>
      <c r="B95" s="8">
        <v>40663</v>
      </c>
      <c r="C95">
        <v>2</v>
      </c>
      <c r="D95" t="s">
        <v>77</v>
      </c>
      <c r="E95" t="s">
        <v>318</v>
      </c>
      <c r="F95" t="s">
        <v>305</v>
      </c>
      <c r="G95">
        <v>-7</v>
      </c>
      <c r="H95">
        <v>1</v>
      </c>
    </row>
    <row r="96" spans="1:8" x14ac:dyDescent="0.25">
      <c r="A96" t="s">
        <v>301</v>
      </c>
      <c r="B96" s="8">
        <v>40663</v>
      </c>
      <c r="C96">
        <v>2</v>
      </c>
      <c r="D96" t="s">
        <v>77</v>
      </c>
      <c r="E96" t="s">
        <v>318</v>
      </c>
      <c r="F96" t="s">
        <v>305</v>
      </c>
      <c r="G96">
        <v>3</v>
      </c>
      <c r="H96">
        <v>4</v>
      </c>
    </row>
    <row r="97" spans="1:8" x14ac:dyDescent="0.25">
      <c r="A97" t="s">
        <v>301</v>
      </c>
      <c r="B97" s="8">
        <v>40663</v>
      </c>
      <c r="C97">
        <v>2</v>
      </c>
      <c r="D97" t="s">
        <v>77</v>
      </c>
      <c r="E97" t="s">
        <v>318</v>
      </c>
      <c r="F97" t="s">
        <v>305</v>
      </c>
      <c r="G97">
        <v>5</v>
      </c>
      <c r="H97">
        <v>9</v>
      </c>
    </row>
    <row r="98" spans="1:8" x14ac:dyDescent="0.25">
      <c r="A98" t="s">
        <v>301</v>
      </c>
      <c r="B98" s="8">
        <v>40663</v>
      </c>
      <c r="C98">
        <v>2</v>
      </c>
      <c r="D98" t="s">
        <v>77</v>
      </c>
      <c r="E98" t="s">
        <v>318</v>
      </c>
      <c r="F98" t="s">
        <v>305</v>
      </c>
      <c r="G98">
        <v>8</v>
      </c>
      <c r="H98">
        <v>-1</v>
      </c>
    </row>
    <row r="99" spans="1:8" x14ac:dyDescent="0.25">
      <c r="A99" t="s">
        <v>301</v>
      </c>
      <c r="B99" s="8">
        <v>40663</v>
      </c>
      <c r="C99">
        <v>2</v>
      </c>
      <c r="D99" t="s">
        <v>77</v>
      </c>
      <c r="E99" t="s">
        <v>318</v>
      </c>
      <c r="F99" t="s">
        <v>305</v>
      </c>
      <c r="G99">
        <v>4</v>
      </c>
      <c r="H99">
        <v>-1</v>
      </c>
    </row>
    <row r="100" spans="1:8" x14ac:dyDescent="0.25">
      <c r="A100" t="s">
        <v>301</v>
      </c>
      <c r="B100" s="8">
        <v>40663</v>
      </c>
      <c r="C100">
        <v>2</v>
      </c>
      <c r="D100" t="s">
        <v>77</v>
      </c>
      <c r="E100" t="s">
        <v>318</v>
      </c>
      <c r="F100" t="s">
        <v>305</v>
      </c>
      <c r="G100">
        <v>-2</v>
      </c>
      <c r="H100">
        <v>-7</v>
      </c>
    </row>
    <row r="101" spans="1:8" x14ac:dyDescent="0.25">
      <c r="A101" t="s">
        <v>301</v>
      </c>
      <c r="B101" s="8">
        <v>40663</v>
      </c>
      <c r="C101">
        <v>2</v>
      </c>
      <c r="D101" t="s">
        <v>77</v>
      </c>
      <c r="E101" t="s">
        <v>318</v>
      </c>
      <c r="F101" t="s">
        <v>305</v>
      </c>
      <c r="G101">
        <v>-3</v>
      </c>
      <c r="H101">
        <v>-5</v>
      </c>
    </row>
    <row r="102" spans="1:8" x14ac:dyDescent="0.25">
      <c r="A102" t="s">
        <v>306</v>
      </c>
      <c r="B102" s="8">
        <v>40692</v>
      </c>
      <c r="C102">
        <v>1</v>
      </c>
      <c r="D102" t="s">
        <v>78</v>
      </c>
      <c r="E102" t="s">
        <v>318</v>
      </c>
      <c r="F102" t="s">
        <v>307</v>
      </c>
      <c r="G102">
        <v>-6</v>
      </c>
      <c r="H102">
        <v>-6</v>
      </c>
    </row>
    <row r="103" spans="1:8" x14ac:dyDescent="0.25">
      <c r="A103" t="s">
        <v>306</v>
      </c>
      <c r="B103" s="8">
        <v>40692</v>
      </c>
      <c r="C103">
        <v>1</v>
      </c>
      <c r="D103" t="s">
        <v>78</v>
      </c>
      <c r="E103" t="s">
        <v>318</v>
      </c>
      <c r="F103" t="s">
        <v>307</v>
      </c>
      <c r="G103">
        <v>-5</v>
      </c>
      <c r="H103">
        <v>7</v>
      </c>
    </row>
    <row r="104" spans="1:8" x14ac:dyDescent="0.25">
      <c r="A104" t="s">
        <v>306</v>
      </c>
      <c r="B104" s="8">
        <v>40692</v>
      </c>
      <c r="C104">
        <v>1</v>
      </c>
      <c r="D104" t="s">
        <v>78</v>
      </c>
      <c r="E104" t="s">
        <v>318</v>
      </c>
      <c r="F104" t="s">
        <v>307</v>
      </c>
      <c r="G104">
        <v>0</v>
      </c>
      <c r="H104">
        <v>8</v>
      </c>
    </row>
    <row r="105" spans="1:8" x14ac:dyDescent="0.25">
      <c r="A105" t="s">
        <v>306</v>
      </c>
      <c r="B105" s="8">
        <v>40692</v>
      </c>
      <c r="C105">
        <v>1</v>
      </c>
      <c r="D105" t="s">
        <v>78</v>
      </c>
      <c r="E105" t="s">
        <v>318</v>
      </c>
      <c r="F105" t="s">
        <v>307</v>
      </c>
      <c r="G105">
        <v>4</v>
      </c>
      <c r="H105">
        <v>1</v>
      </c>
    </row>
    <row r="106" spans="1:8" x14ac:dyDescent="0.25">
      <c r="A106" t="s">
        <v>306</v>
      </c>
      <c r="B106" s="8">
        <v>40692</v>
      </c>
      <c r="C106">
        <v>1</v>
      </c>
      <c r="D106" t="s">
        <v>78</v>
      </c>
      <c r="E106" t="s">
        <v>318</v>
      </c>
      <c r="F106" t="s">
        <v>307</v>
      </c>
      <c r="G106">
        <v>2</v>
      </c>
      <c r="H106">
        <v>0</v>
      </c>
    </row>
    <row r="107" spans="1:8" x14ac:dyDescent="0.25">
      <c r="A107" t="s">
        <v>306</v>
      </c>
      <c r="B107" s="8">
        <v>40692</v>
      </c>
      <c r="C107">
        <v>1</v>
      </c>
      <c r="D107" t="s">
        <v>78</v>
      </c>
      <c r="E107" t="s">
        <v>318</v>
      </c>
      <c r="F107" t="s">
        <v>307</v>
      </c>
      <c r="G107">
        <v>0</v>
      </c>
      <c r="H107">
        <v>-5</v>
      </c>
    </row>
    <row r="108" spans="1:8" x14ac:dyDescent="0.25">
      <c r="A108" t="s">
        <v>306</v>
      </c>
      <c r="B108" s="8">
        <v>40692</v>
      </c>
      <c r="C108">
        <v>1</v>
      </c>
      <c r="D108" t="s">
        <v>78</v>
      </c>
      <c r="E108" t="s">
        <v>318</v>
      </c>
      <c r="F108" t="s">
        <v>307</v>
      </c>
      <c r="G108">
        <v>-2</v>
      </c>
      <c r="H108">
        <v>-9</v>
      </c>
    </row>
    <row r="109" spans="1:8" x14ac:dyDescent="0.25">
      <c r="A109" t="s">
        <v>306</v>
      </c>
      <c r="B109" s="8">
        <v>40692</v>
      </c>
      <c r="C109">
        <v>1</v>
      </c>
      <c r="D109" t="s">
        <v>78</v>
      </c>
      <c r="E109" t="s">
        <v>318</v>
      </c>
      <c r="F109" t="s">
        <v>307</v>
      </c>
      <c r="G109">
        <v>-4</v>
      </c>
      <c r="H109">
        <v>-8</v>
      </c>
    </row>
    <row r="110" spans="1:8" x14ac:dyDescent="0.25">
      <c r="A110" t="s">
        <v>306</v>
      </c>
      <c r="B110" s="8">
        <v>40692</v>
      </c>
      <c r="C110">
        <v>1</v>
      </c>
      <c r="D110" t="s">
        <v>77</v>
      </c>
      <c r="E110" t="s">
        <v>318</v>
      </c>
      <c r="F110" t="s">
        <v>308</v>
      </c>
      <c r="G110">
        <v>-2</v>
      </c>
      <c r="H110">
        <v>3</v>
      </c>
    </row>
    <row r="111" spans="1:8" x14ac:dyDescent="0.25">
      <c r="A111" t="s">
        <v>306</v>
      </c>
      <c r="B111" s="8">
        <v>40692</v>
      </c>
      <c r="C111">
        <v>1</v>
      </c>
      <c r="D111" t="s">
        <v>77</v>
      </c>
      <c r="E111" t="s">
        <v>318</v>
      </c>
      <c r="F111" t="s">
        <v>308</v>
      </c>
      <c r="G111">
        <v>-2</v>
      </c>
      <c r="H111">
        <v>2</v>
      </c>
    </row>
    <row r="112" spans="1:8" x14ac:dyDescent="0.25">
      <c r="A112" t="s">
        <v>306</v>
      </c>
      <c r="B112" s="8">
        <v>40692</v>
      </c>
      <c r="C112">
        <v>1</v>
      </c>
      <c r="D112" t="s">
        <v>77</v>
      </c>
      <c r="E112" t="s">
        <v>318</v>
      </c>
      <c r="F112" t="s">
        <v>308</v>
      </c>
      <c r="G112">
        <v>6</v>
      </c>
      <c r="H112">
        <v>1</v>
      </c>
    </row>
    <row r="113" spans="1:8" x14ac:dyDescent="0.25">
      <c r="A113" t="s">
        <v>306</v>
      </c>
      <c r="B113" s="8">
        <v>40692</v>
      </c>
      <c r="C113">
        <v>1</v>
      </c>
      <c r="D113" t="s">
        <v>77</v>
      </c>
      <c r="E113" t="s">
        <v>318</v>
      </c>
      <c r="F113" t="s">
        <v>308</v>
      </c>
      <c r="G113">
        <v>6</v>
      </c>
      <c r="H113">
        <v>8</v>
      </c>
    </row>
    <row r="114" spans="1:8" x14ac:dyDescent="0.25">
      <c r="A114" t="s">
        <v>306</v>
      </c>
      <c r="B114" s="8">
        <v>40692</v>
      </c>
      <c r="C114">
        <v>1</v>
      </c>
      <c r="D114" t="s">
        <v>77</v>
      </c>
      <c r="E114" t="s">
        <v>318</v>
      </c>
      <c r="F114" t="s">
        <v>308</v>
      </c>
      <c r="G114">
        <v>2</v>
      </c>
      <c r="H114">
        <v>-9</v>
      </c>
    </row>
    <row r="115" spans="1:8" x14ac:dyDescent="0.25">
      <c r="A115" t="s">
        <v>306</v>
      </c>
      <c r="B115" s="8">
        <v>40692</v>
      </c>
      <c r="C115">
        <v>1</v>
      </c>
      <c r="D115" t="s">
        <v>77</v>
      </c>
      <c r="E115" t="s">
        <v>318</v>
      </c>
      <c r="F115" t="s">
        <v>308</v>
      </c>
      <c r="G115">
        <v>5</v>
      </c>
      <c r="H115">
        <v>-2</v>
      </c>
    </row>
    <row r="116" spans="1:8" x14ac:dyDescent="0.25">
      <c r="A116" t="s">
        <v>306</v>
      </c>
      <c r="B116" s="8">
        <v>40692</v>
      </c>
      <c r="C116">
        <v>1</v>
      </c>
      <c r="D116" t="s">
        <v>77</v>
      </c>
      <c r="E116" t="s">
        <v>318</v>
      </c>
      <c r="F116" t="s">
        <v>308</v>
      </c>
      <c r="G116">
        <v>0</v>
      </c>
      <c r="H116">
        <v>5</v>
      </c>
    </row>
    <row r="117" spans="1:8" x14ac:dyDescent="0.25">
      <c r="A117" t="s">
        <v>306</v>
      </c>
      <c r="B117" s="8">
        <v>40692</v>
      </c>
      <c r="C117">
        <v>1</v>
      </c>
      <c r="D117" t="s">
        <v>77</v>
      </c>
      <c r="E117" t="s">
        <v>318</v>
      </c>
      <c r="F117" t="s">
        <v>308</v>
      </c>
      <c r="G117">
        <v>-7</v>
      </c>
      <c r="H117">
        <v>0</v>
      </c>
    </row>
    <row r="118" spans="1:8" x14ac:dyDescent="0.25">
      <c r="A118" t="s">
        <v>306</v>
      </c>
      <c r="B118" s="8">
        <v>40692</v>
      </c>
      <c r="C118">
        <v>2</v>
      </c>
      <c r="D118" t="s">
        <v>78</v>
      </c>
      <c r="E118" t="s">
        <v>318</v>
      </c>
      <c r="F118" t="s">
        <v>309</v>
      </c>
      <c r="G118">
        <v>1</v>
      </c>
      <c r="H118">
        <v>-6</v>
      </c>
    </row>
    <row r="119" spans="1:8" x14ac:dyDescent="0.25">
      <c r="A119" t="s">
        <v>306</v>
      </c>
      <c r="B119" s="8">
        <v>40692</v>
      </c>
      <c r="C119">
        <v>2</v>
      </c>
      <c r="D119" t="s">
        <v>78</v>
      </c>
      <c r="E119" t="s">
        <v>318</v>
      </c>
      <c r="F119" t="s">
        <v>309</v>
      </c>
      <c r="G119">
        <v>2</v>
      </c>
      <c r="H119">
        <v>-7</v>
      </c>
    </row>
    <row r="120" spans="1:8" x14ac:dyDescent="0.25">
      <c r="A120" t="s">
        <v>306</v>
      </c>
      <c r="B120" s="8">
        <v>40692</v>
      </c>
      <c r="C120">
        <v>2</v>
      </c>
      <c r="D120" t="s">
        <v>78</v>
      </c>
      <c r="E120" t="s">
        <v>318</v>
      </c>
      <c r="F120" t="s">
        <v>309</v>
      </c>
      <c r="G120">
        <v>2</v>
      </c>
      <c r="H120">
        <v>7</v>
      </c>
    </row>
    <row r="121" spans="1:8" x14ac:dyDescent="0.25">
      <c r="A121" t="s">
        <v>306</v>
      </c>
      <c r="B121" s="8">
        <v>40692</v>
      </c>
      <c r="C121">
        <v>2</v>
      </c>
      <c r="D121" t="s">
        <v>78</v>
      </c>
      <c r="E121" t="s">
        <v>318</v>
      </c>
      <c r="F121" t="s">
        <v>309</v>
      </c>
      <c r="G121">
        <v>0</v>
      </c>
      <c r="H121">
        <v>1</v>
      </c>
    </row>
    <row r="122" spans="1:8" x14ac:dyDescent="0.25">
      <c r="A122" t="s">
        <v>306</v>
      </c>
      <c r="B122" s="8">
        <v>40692</v>
      </c>
      <c r="C122">
        <v>2</v>
      </c>
      <c r="D122" t="s">
        <v>78</v>
      </c>
      <c r="E122" t="s">
        <v>318</v>
      </c>
      <c r="F122" t="s">
        <v>309</v>
      </c>
      <c r="G122">
        <v>-8</v>
      </c>
      <c r="H122">
        <v>0</v>
      </c>
    </row>
    <row r="123" spans="1:8" x14ac:dyDescent="0.25">
      <c r="A123" t="s">
        <v>306</v>
      </c>
      <c r="B123" s="8">
        <v>40692</v>
      </c>
      <c r="C123">
        <v>2</v>
      </c>
      <c r="D123" t="s">
        <v>78</v>
      </c>
      <c r="E123" t="s">
        <v>318</v>
      </c>
      <c r="F123" t="s">
        <v>309</v>
      </c>
      <c r="G123">
        <v>2</v>
      </c>
      <c r="H123">
        <v>-6</v>
      </c>
    </row>
    <row r="124" spans="1:8" x14ac:dyDescent="0.25">
      <c r="A124" t="s">
        <v>306</v>
      </c>
      <c r="B124" s="8">
        <v>40692</v>
      </c>
      <c r="C124">
        <v>2</v>
      </c>
      <c r="D124" t="s">
        <v>78</v>
      </c>
      <c r="E124" t="s">
        <v>318</v>
      </c>
      <c r="F124" t="s">
        <v>309</v>
      </c>
      <c r="G124">
        <v>-1</v>
      </c>
      <c r="H124">
        <v>-4</v>
      </c>
    </row>
    <row r="125" spans="1:8" x14ac:dyDescent="0.25">
      <c r="A125" t="s">
        <v>306</v>
      </c>
      <c r="B125" s="8">
        <v>40692</v>
      </c>
      <c r="C125">
        <v>2</v>
      </c>
      <c r="D125" t="s">
        <v>78</v>
      </c>
      <c r="E125" t="s">
        <v>318</v>
      </c>
      <c r="F125" t="s">
        <v>309</v>
      </c>
      <c r="G125">
        <v>-5</v>
      </c>
      <c r="H125">
        <v>-8</v>
      </c>
    </row>
    <row r="126" spans="1:8" x14ac:dyDescent="0.25">
      <c r="A126" t="s">
        <v>306</v>
      </c>
      <c r="B126" s="8">
        <v>40692</v>
      </c>
      <c r="C126">
        <v>2</v>
      </c>
      <c r="D126" t="s">
        <v>77</v>
      </c>
      <c r="E126" t="s">
        <v>318</v>
      </c>
      <c r="F126" t="s">
        <v>310</v>
      </c>
      <c r="G126">
        <v>-3</v>
      </c>
      <c r="H126">
        <v>5</v>
      </c>
    </row>
    <row r="127" spans="1:8" x14ac:dyDescent="0.25">
      <c r="A127" t="s">
        <v>306</v>
      </c>
      <c r="B127" s="8">
        <v>40692</v>
      </c>
      <c r="C127">
        <v>2</v>
      </c>
      <c r="D127" t="s">
        <v>77</v>
      </c>
      <c r="E127" t="s">
        <v>318</v>
      </c>
      <c r="F127" t="s">
        <v>310</v>
      </c>
      <c r="G127">
        <v>-9</v>
      </c>
      <c r="H127">
        <v>6</v>
      </c>
    </row>
    <row r="128" spans="1:8" x14ac:dyDescent="0.25">
      <c r="A128" t="s">
        <v>306</v>
      </c>
      <c r="B128" s="8">
        <v>40692</v>
      </c>
      <c r="C128">
        <v>2</v>
      </c>
      <c r="D128" t="s">
        <v>77</v>
      </c>
      <c r="E128" t="s">
        <v>318</v>
      </c>
      <c r="F128" t="s">
        <v>310</v>
      </c>
      <c r="G128">
        <v>1</v>
      </c>
      <c r="H128">
        <v>2</v>
      </c>
    </row>
    <row r="129" spans="1:8" x14ac:dyDescent="0.25">
      <c r="A129" t="s">
        <v>306</v>
      </c>
      <c r="B129" s="8">
        <v>40692</v>
      </c>
      <c r="C129">
        <v>2</v>
      </c>
      <c r="D129" t="s">
        <v>77</v>
      </c>
      <c r="E129" t="s">
        <v>318</v>
      </c>
      <c r="F129" t="s">
        <v>310</v>
      </c>
      <c r="G129">
        <v>9</v>
      </c>
      <c r="H129">
        <v>3</v>
      </c>
    </row>
    <row r="130" spans="1:8" x14ac:dyDescent="0.25">
      <c r="A130" t="s">
        <v>306</v>
      </c>
      <c r="B130" s="8">
        <v>40692</v>
      </c>
      <c r="C130">
        <v>2</v>
      </c>
      <c r="D130" t="s">
        <v>77</v>
      </c>
      <c r="E130" t="s">
        <v>318</v>
      </c>
      <c r="F130" t="s">
        <v>310</v>
      </c>
      <c r="G130">
        <v>7</v>
      </c>
      <c r="H130">
        <v>-8</v>
      </c>
    </row>
    <row r="131" spans="1:8" x14ac:dyDescent="0.25">
      <c r="A131" t="s">
        <v>306</v>
      </c>
      <c r="B131" s="8">
        <v>40692</v>
      </c>
      <c r="C131">
        <v>2</v>
      </c>
      <c r="D131" t="s">
        <v>77</v>
      </c>
      <c r="E131" t="s">
        <v>318</v>
      </c>
      <c r="F131" t="s">
        <v>310</v>
      </c>
      <c r="G131">
        <v>5</v>
      </c>
      <c r="H131">
        <v>0</v>
      </c>
    </row>
    <row r="132" spans="1:8" x14ac:dyDescent="0.25">
      <c r="A132" t="s">
        <v>306</v>
      </c>
      <c r="B132" s="8">
        <v>40692</v>
      </c>
      <c r="C132">
        <v>2</v>
      </c>
      <c r="D132" t="s">
        <v>77</v>
      </c>
      <c r="E132" t="s">
        <v>318</v>
      </c>
      <c r="F132" t="s">
        <v>310</v>
      </c>
      <c r="G132">
        <v>-4</v>
      </c>
      <c r="H132">
        <v>0</v>
      </c>
    </row>
    <row r="133" spans="1:8" x14ac:dyDescent="0.25">
      <c r="A133" t="s">
        <v>306</v>
      </c>
      <c r="B133" s="8">
        <v>40692</v>
      </c>
      <c r="C133">
        <v>2</v>
      </c>
      <c r="D133" t="s">
        <v>77</v>
      </c>
      <c r="E133" t="s">
        <v>318</v>
      </c>
      <c r="F133" t="s">
        <v>310</v>
      </c>
      <c r="G133">
        <v>-2</v>
      </c>
      <c r="H133">
        <v>-2</v>
      </c>
    </row>
    <row r="134" spans="1:8" x14ac:dyDescent="0.25">
      <c r="A134" t="s">
        <v>275</v>
      </c>
      <c r="B134" s="8">
        <v>40998</v>
      </c>
      <c r="C134">
        <v>3</v>
      </c>
      <c r="D134" t="s">
        <v>78</v>
      </c>
      <c r="E134" t="s">
        <v>319</v>
      </c>
      <c r="F134" t="s">
        <v>311</v>
      </c>
      <c r="G134">
        <v>4</v>
      </c>
      <c r="H134">
        <v>8</v>
      </c>
    </row>
    <row r="135" spans="1:8" x14ac:dyDescent="0.25">
      <c r="A135" t="s">
        <v>275</v>
      </c>
      <c r="B135" s="8">
        <v>40998</v>
      </c>
      <c r="C135">
        <v>3</v>
      </c>
      <c r="D135" t="s">
        <v>78</v>
      </c>
      <c r="E135" t="s">
        <v>319</v>
      </c>
      <c r="F135" t="s">
        <v>311</v>
      </c>
      <c r="G135">
        <v>6</v>
      </c>
      <c r="H135">
        <v>0</v>
      </c>
    </row>
    <row r="136" spans="1:8" x14ac:dyDescent="0.25">
      <c r="A136" t="s">
        <v>275</v>
      </c>
      <c r="B136" s="8">
        <v>40998</v>
      </c>
      <c r="C136">
        <v>3</v>
      </c>
      <c r="D136" t="s">
        <v>78</v>
      </c>
      <c r="E136" t="s">
        <v>319</v>
      </c>
      <c r="F136" t="s">
        <v>311</v>
      </c>
      <c r="G136">
        <v>7</v>
      </c>
      <c r="H136">
        <v>7</v>
      </c>
    </row>
    <row r="137" spans="1:8" x14ac:dyDescent="0.25">
      <c r="A137" t="s">
        <v>275</v>
      </c>
      <c r="B137" s="8">
        <v>40998</v>
      </c>
      <c r="C137">
        <v>3</v>
      </c>
      <c r="D137" t="s">
        <v>78</v>
      </c>
      <c r="E137" t="s">
        <v>319</v>
      </c>
      <c r="F137" t="s">
        <v>311</v>
      </c>
      <c r="G137">
        <v>8</v>
      </c>
      <c r="H137">
        <v>5</v>
      </c>
    </row>
    <row r="138" spans="1:8" x14ac:dyDescent="0.25">
      <c r="A138" t="s">
        <v>275</v>
      </c>
      <c r="B138" s="8">
        <v>40998</v>
      </c>
      <c r="C138">
        <v>3</v>
      </c>
      <c r="D138" t="s">
        <v>78</v>
      </c>
      <c r="E138" t="s">
        <v>319</v>
      </c>
      <c r="F138" t="s">
        <v>311</v>
      </c>
      <c r="G138">
        <v>1</v>
      </c>
      <c r="H138">
        <v>7</v>
      </c>
    </row>
    <row r="139" spans="1:8" x14ac:dyDescent="0.25">
      <c r="A139" t="s">
        <v>275</v>
      </c>
      <c r="B139" s="8">
        <v>40998</v>
      </c>
      <c r="C139">
        <v>3</v>
      </c>
      <c r="D139" t="s">
        <v>78</v>
      </c>
      <c r="E139" t="s">
        <v>319</v>
      </c>
      <c r="F139" t="s">
        <v>311</v>
      </c>
      <c r="G139">
        <v>4</v>
      </c>
      <c r="H139">
        <v>3</v>
      </c>
    </row>
    <row r="140" spans="1:8" x14ac:dyDescent="0.25">
      <c r="A140" t="s">
        <v>275</v>
      </c>
      <c r="B140" s="8">
        <v>40998</v>
      </c>
      <c r="C140">
        <v>3</v>
      </c>
      <c r="D140" t="s">
        <v>78</v>
      </c>
      <c r="E140" t="s">
        <v>319</v>
      </c>
      <c r="F140" t="s">
        <v>311</v>
      </c>
      <c r="G140">
        <v>9</v>
      </c>
      <c r="H140">
        <v>7</v>
      </c>
    </row>
    <row r="141" spans="1:8" x14ac:dyDescent="0.25">
      <c r="A141" t="s">
        <v>275</v>
      </c>
      <c r="B141" s="8">
        <v>40998</v>
      </c>
      <c r="C141">
        <v>3</v>
      </c>
      <c r="D141" t="s">
        <v>78</v>
      </c>
      <c r="E141" t="s">
        <v>319</v>
      </c>
      <c r="F141" t="s">
        <v>311</v>
      </c>
      <c r="G141">
        <v>3</v>
      </c>
      <c r="H141">
        <v>9</v>
      </c>
    </row>
    <row r="142" spans="1:8" x14ac:dyDescent="0.25">
      <c r="A142" t="s">
        <v>275</v>
      </c>
      <c r="B142" s="8">
        <v>40998</v>
      </c>
      <c r="C142">
        <v>3</v>
      </c>
      <c r="D142" t="s">
        <v>77</v>
      </c>
      <c r="E142" t="s">
        <v>319</v>
      </c>
      <c r="F142" t="s">
        <v>312</v>
      </c>
      <c r="G142">
        <v>3</v>
      </c>
      <c r="H142">
        <v>9</v>
      </c>
    </row>
    <row r="143" spans="1:8" x14ac:dyDescent="0.25">
      <c r="A143" t="s">
        <v>275</v>
      </c>
      <c r="B143" s="8">
        <v>40998</v>
      </c>
      <c r="C143">
        <v>3</v>
      </c>
      <c r="D143" t="s">
        <v>77</v>
      </c>
      <c r="E143" t="s">
        <v>319</v>
      </c>
      <c r="F143" t="s">
        <v>312</v>
      </c>
      <c r="G143">
        <v>4</v>
      </c>
      <c r="H143">
        <v>9</v>
      </c>
    </row>
    <row r="144" spans="1:8" x14ac:dyDescent="0.25">
      <c r="A144" t="s">
        <v>275</v>
      </c>
      <c r="B144" s="8">
        <v>40998</v>
      </c>
      <c r="C144">
        <v>3</v>
      </c>
      <c r="D144" t="s">
        <v>77</v>
      </c>
      <c r="E144" t="s">
        <v>319</v>
      </c>
      <c r="F144" t="s">
        <v>312</v>
      </c>
      <c r="G144">
        <v>6</v>
      </c>
      <c r="H144">
        <v>5</v>
      </c>
    </row>
    <row r="145" spans="1:8" x14ac:dyDescent="0.25">
      <c r="A145" t="s">
        <v>275</v>
      </c>
      <c r="B145" s="8">
        <v>40998</v>
      </c>
      <c r="C145">
        <v>3</v>
      </c>
      <c r="D145" t="s">
        <v>77</v>
      </c>
      <c r="E145" t="s">
        <v>319</v>
      </c>
      <c r="F145" t="s">
        <v>312</v>
      </c>
      <c r="G145">
        <v>5</v>
      </c>
      <c r="H145">
        <v>5</v>
      </c>
    </row>
    <row r="146" spans="1:8" x14ac:dyDescent="0.25">
      <c r="A146" t="s">
        <v>275</v>
      </c>
      <c r="B146" s="8">
        <v>40998</v>
      </c>
      <c r="C146">
        <v>3</v>
      </c>
      <c r="D146" t="s">
        <v>77</v>
      </c>
      <c r="E146" t="s">
        <v>319</v>
      </c>
      <c r="F146" t="s">
        <v>312</v>
      </c>
      <c r="G146">
        <v>4</v>
      </c>
      <c r="H146">
        <v>9</v>
      </c>
    </row>
    <row r="147" spans="1:8" x14ac:dyDescent="0.25">
      <c r="A147" t="s">
        <v>275</v>
      </c>
      <c r="B147" s="8">
        <v>40998</v>
      </c>
      <c r="C147">
        <v>3</v>
      </c>
      <c r="D147" t="s">
        <v>77</v>
      </c>
      <c r="E147" t="s">
        <v>319</v>
      </c>
      <c r="F147" t="s">
        <v>312</v>
      </c>
      <c r="G147">
        <v>7</v>
      </c>
      <c r="H147">
        <v>6</v>
      </c>
    </row>
    <row r="148" spans="1:8" x14ac:dyDescent="0.25">
      <c r="A148" t="s">
        <v>275</v>
      </c>
      <c r="B148" s="8">
        <v>40998</v>
      </c>
      <c r="C148">
        <v>3</v>
      </c>
      <c r="D148" t="s">
        <v>77</v>
      </c>
      <c r="E148" t="s">
        <v>319</v>
      </c>
      <c r="F148" t="s">
        <v>312</v>
      </c>
      <c r="G148">
        <v>0</v>
      </c>
      <c r="H148">
        <v>2</v>
      </c>
    </row>
    <row r="149" spans="1:8" x14ac:dyDescent="0.25">
      <c r="A149" t="s">
        <v>275</v>
      </c>
      <c r="B149" s="8">
        <v>40998</v>
      </c>
      <c r="C149">
        <v>3</v>
      </c>
      <c r="D149" t="s">
        <v>77</v>
      </c>
      <c r="E149" t="s">
        <v>319</v>
      </c>
      <c r="F149" t="s">
        <v>312</v>
      </c>
      <c r="G149">
        <v>3</v>
      </c>
      <c r="H149">
        <v>6</v>
      </c>
    </row>
    <row r="150" spans="1:8" x14ac:dyDescent="0.25">
      <c r="A150" t="s">
        <v>275</v>
      </c>
      <c r="B150" s="8">
        <v>40998</v>
      </c>
      <c r="C150">
        <v>2</v>
      </c>
      <c r="D150" t="s">
        <v>78</v>
      </c>
      <c r="E150" t="s">
        <v>319</v>
      </c>
      <c r="F150" t="s">
        <v>313</v>
      </c>
      <c r="G150">
        <v>9</v>
      </c>
      <c r="H150">
        <v>5</v>
      </c>
    </row>
    <row r="151" spans="1:8" x14ac:dyDescent="0.25">
      <c r="A151" t="s">
        <v>275</v>
      </c>
      <c r="B151" s="8">
        <v>40998</v>
      </c>
      <c r="C151">
        <v>2</v>
      </c>
      <c r="D151" t="s">
        <v>78</v>
      </c>
      <c r="E151" t="s">
        <v>319</v>
      </c>
      <c r="F151" t="s">
        <v>313</v>
      </c>
      <c r="G151">
        <v>-6</v>
      </c>
      <c r="H151">
        <v>3</v>
      </c>
    </row>
    <row r="152" spans="1:8" x14ac:dyDescent="0.25">
      <c r="A152" t="s">
        <v>275</v>
      </c>
      <c r="B152" s="8">
        <v>40998</v>
      </c>
      <c r="C152">
        <v>2</v>
      </c>
      <c r="D152" t="s">
        <v>78</v>
      </c>
      <c r="E152" t="s">
        <v>319</v>
      </c>
      <c r="F152" t="s">
        <v>313</v>
      </c>
      <c r="G152">
        <v>0</v>
      </c>
      <c r="H152">
        <v>5</v>
      </c>
    </row>
    <row r="153" spans="1:8" x14ac:dyDescent="0.25">
      <c r="A153" t="s">
        <v>275</v>
      </c>
      <c r="B153" s="8">
        <v>40998</v>
      </c>
      <c r="C153">
        <v>2</v>
      </c>
      <c r="D153" t="s">
        <v>78</v>
      </c>
      <c r="E153" t="s">
        <v>319</v>
      </c>
      <c r="F153" t="s">
        <v>313</v>
      </c>
      <c r="G153">
        <v>1</v>
      </c>
      <c r="H153">
        <v>9</v>
      </c>
    </row>
    <row r="154" spans="1:8" x14ac:dyDescent="0.25">
      <c r="A154" t="s">
        <v>275</v>
      </c>
      <c r="B154" s="8">
        <v>40998</v>
      </c>
      <c r="C154">
        <v>2</v>
      </c>
      <c r="D154" t="s">
        <v>78</v>
      </c>
      <c r="E154" t="s">
        <v>319</v>
      </c>
      <c r="F154" t="s">
        <v>313</v>
      </c>
      <c r="G154">
        <v>4</v>
      </c>
      <c r="H154">
        <v>-9</v>
      </c>
    </row>
    <row r="155" spans="1:8" x14ac:dyDescent="0.25">
      <c r="A155" t="s">
        <v>275</v>
      </c>
      <c r="B155" s="8">
        <v>40998</v>
      </c>
      <c r="C155">
        <v>2</v>
      </c>
      <c r="D155" t="s">
        <v>78</v>
      </c>
      <c r="E155" t="s">
        <v>319</v>
      </c>
      <c r="F155" t="s">
        <v>313</v>
      </c>
      <c r="G155">
        <v>8</v>
      </c>
      <c r="H155">
        <v>-5</v>
      </c>
    </row>
    <row r="156" spans="1:8" x14ac:dyDescent="0.25">
      <c r="A156" t="s">
        <v>275</v>
      </c>
      <c r="B156" s="8">
        <v>40998</v>
      </c>
      <c r="C156">
        <v>2</v>
      </c>
      <c r="D156" t="s">
        <v>78</v>
      </c>
      <c r="E156" t="s">
        <v>319</v>
      </c>
      <c r="F156" t="s">
        <v>313</v>
      </c>
      <c r="G156">
        <v>-3</v>
      </c>
      <c r="H156">
        <v>-1</v>
      </c>
    </row>
    <row r="157" spans="1:8" x14ac:dyDescent="0.25">
      <c r="A157" t="s">
        <v>275</v>
      </c>
      <c r="B157" s="8">
        <v>40998</v>
      </c>
      <c r="C157">
        <v>2</v>
      </c>
      <c r="D157" t="s">
        <v>78</v>
      </c>
      <c r="E157" t="s">
        <v>319</v>
      </c>
      <c r="F157" t="s">
        <v>313</v>
      </c>
      <c r="G157">
        <v>-9</v>
      </c>
      <c r="H157">
        <v>-6</v>
      </c>
    </row>
    <row r="158" spans="1:8" x14ac:dyDescent="0.25">
      <c r="A158" t="s">
        <v>275</v>
      </c>
      <c r="B158" s="8">
        <v>40998</v>
      </c>
      <c r="C158">
        <v>2</v>
      </c>
      <c r="D158" t="s">
        <v>77</v>
      </c>
      <c r="E158" t="s">
        <v>319</v>
      </c>
      <c r="F158" t="s">
        <v>314</v>
      </c>
      <c r="G158">
        <v>-2</v>
      </c>
      <c r="H158">
        <v>6</v>
      </c>
    </row>
    <row r="159" spans="1:8" x14ac:dyDescent="0.25">
      <c r="A159" t="s">
        <v>275</v>
      </c>
      <c r="B159" s="8">
        <v>40998</v>
      </c>
      <c r="C159">
        <v>2</v>
      </c>
      <c r="D159" t="s">
        <v>77</v>
      </c>
      <c r="E159" t="s">
        <v>319</v>
      </c>
      <c r="F159" t="s">
        <v>314</v>
      </c>
      <c r="G159">
        <v>-8</v>
      </c>
      <c r="H159">
        <v>2</v>
      </c>
    </row>
    <row r="160" spans="1:8" x14ac:dyDescent="0.25">
      <c r="A160" t="s">
        <v>275</v>
      </c>
      <c r="B160" s="8">
        <v>40998</v>
      </c>
      <c r="C160">
        <v>2</v>
      </c>
      <c r="D160" t="s">
        <v>77</v>
      </c>
      <c r="E160" t="s">
        <v>319</v>
      </c>
      <c r="F160" t="s">
        <v>314</v>
      </c>
      <c r="G160">
        <v>6</v>
      </c>
      <c r="H160">
        <v>9</v>
      </c>
    </row>
    <row r="161" spans="1:8" x14ac:dyDescent="0.25">
      <c r="A161" t="s">
        <v>275</v>
      </c>
      <c r="B161" s="8">
        <v>40998</v>
      </c>
      <c r="C161">
        <v>2</v>
      </c>
      <c r="D161" t="s">
        <v>77</v>
      </c>
      <c r="E161" t="s">
        <v>319</v>
      </c>
      <c r="F161" t="s">
        <v>314</v>
      </c>
      <c r="G161">
        <v>7</v>
      </c>
      <c r="H161">
        <v>5</v>
      </c>
    </row>
    <row r="162" spans="1:8" x14ac:dyDescent="0.25">
      <c r="A162" t="s">
        <v>275</v>
      </c>
      <c r="B162" s="8">
        <v>40998</v>
      </c>
      <c r="C162">
        <v>2</v>
      </c>
      <c r="D162" t="s">
        <v>77</v>
      </c>
      <c r="E162" t="s">
        <v>319</v>
      </c>
      <c r="F162" t="s">
        <v>314</v>
      </c>
      <c r="G162">
        <v>8</v>
      </c>
      <c r="H162">
        <v>-5</v>
      </c>
    </row>
    <row r="163" spans="1:8" x14ac:dyDescent="0.25">
      <c r="A163" t="s">
        <v>275</v>
      </c>
      <c r="B163" s="8">
        <v>40998</v>
      </c>
      <c r="C163">
        <v>2</v>
      </c>
      <c r="D163" t="s">
        <v>77</v>
      </c>
      <c r="E163" t="s">
        <v>319</v>
      </c>
      <c r="F163" t="s">
        <v>314</v>
      </c>
      <c r="G163">
        <v>-3</v>
      </c>
      <c r="H163">
        <v>-2</v>
      </c>
    </row>
    <row r="164" spans="1:8" x14ac:dyDescent="0.25">
      <c r="A164" t="s">
        <v>275</v>
      </c>
      <c r="B164" s="8">
        <v>40998</v>
      </c>
      <c r="C164">
        <v>2</v>
      </c>
      <c r="D164" t="s">
        <v>77</v>
      </c>
      <c r="E164" t="s">
        <v>319</v>
      </c>
      <c r="F164" t="s">
        <v>314</v>
      </c>
      <c r="G164">
        <v>-6</v>
      </c>
      <c r="H164">
        <v>-5</v>
      </c>
    </row>
    <row r="165" spans="1:8" x14ac:dyDescent="0.25">
      <c r="A165" t="s">
        <v>275</v>
      </c>
      <c r="B165" s="8">
        <v>40998</v>
      </c>
      <c r="C165">
        <v>2</v>
      </c>
      <c r="D165" t="s">
        <v>77</v>
      </c>
      <c r="E165" t="s">
        <v>319</v>
      </c>
      <c r="F165" t="s">
        <v>314</v>
      </c>
      <c r="G165">
        <v>0</v>
      </c>
      <c r="H165">
        <v>-5</v>
      </c>
    </row>
    <row r="166" spans="1:8" x14ac:dyDescent="0.25">
      <c r="A166" t="s">
        <v>274</v>
      </c>
      <c r="C166">
        <v>1</v>
      </c>
      <c r="D166" t="s">
        <v>77</v>
      </c>
      <c r="E166" t="s">
        <v>319</v>
      </c>
      <c r="F166" t="s">
        <v>315</v>
      </c>
      <c r="G166">
        <v>3</v>
      </c>
      <c r="H166">
        <v>6</v>
      </c>
    </row>
    <row r="167" spans="1:8" x14ac:dyDescent="0.25">
      <c r="A167" t="s">
        <v>274</v>
      </c>
      <c r="C167">
        <v>1</v>
      </c>
      <c r="D167" t="s">
        <v>77</v>
      </c>
      <c r="E167" t="s">
        <v>319</v>
      </c>
      <c r="F167" t="s">
        <v>315</v>
      </c>
      <c r="G167">
        <v>7</v>
      </c>
      <c r="H167">
        <v>8</v>
      </c>
    </row>
    <row r="168" spans="1:8" x14ac:dyDescent="0.25">
      <c r="A168" t="s">
        <v>274</v>
      </c>
      <c r="C168">
        <v>1</v>
      </c>
      <c r="D168" t="s">
        <v>77</v>
      </c>
      <c r="E168" t="s">
        <v>319</v>
      </c>
      <c r="F168" t="s">
        <v>315</v>
      </c>
      <c r="G168">
        <v>2</v>
      </c>
      <c r="H168">
        <v>9</v>
      </c>
    </row>
    <row r="169" spans="1:8" x14ac:dyDescent="0.25">
      <c r="A169" t="s">
        <v>274</v>
      </c>
      <c r="C169">
        <v>1</v>
      </c>
      <c r="D169" t="s">
        <v>77</v>
      </c>
      <c r="E169" t="s">
        <v>319</v>
      </c>
      <c r="F169" t="s">
        <v>315</v>
      </c>
      <c r="G169">
        <v>1</v>
      </c>
      <c r="H169">
        <v>4</v>
      </c>
    </row>
    <row r="170" spans="1:8" x14ac:dyDescent="0.25">
      <c r="A170" t="s">
        <v>274</v>
      </c>
      <c r="C170">
        <v>1</v>
      </c>
      <c r="D170" t="s">
        <v>77</v>
      </c>
      <c r="E170" t="s">
        <v>319</v>
      </c>
      <c r="F170" t="s">
        <v>315</v>
      </c>
      <c r="G170">
        <v>5</v>
      </c>
      <c r="H170">
        <v>0</v>
      </c>
    </row>
    <row r="171" spans="1:8" x14ac:dyDescent="0.25">
      <c r="A171" t="s">
        <v>274</v>
      </c>
      <c r="C171">
        <v>1</v>
      </c>
      <c r="D171" t="s">
        <v>77</v>
      </c>
      <c r="E171" t="s">
        <v>319</v>
      </c>
      <c r="F171" t="s">
        <v>315</v>
      </c>
      <c r="G171">
        <v>9</v>
      </c>
      <c r="H171">
        <v>8</v>
      </c>
    </row>
    <row r="172" spans="1:8" x14ac:dyDescent="0.25">
      <c r="A172" t="s">
        <v>274</v>
      </c>
      <c r="C172">
        <v>1</v>
      </c>
      <c r="D172" t="s">
        <v>77</v>
      </c>
      <c r="E172" t="s">
        <v>319</v>
      </c>
      <c r="F172" t="s">
        <v>315</v>
      </c>
      <c r="G172">
        <v>4</v>
      </c>
      <c r="H172">
        <v>3</v>
      </c>
    </row>
    <row r="173" spans="1:8" x14ac:dyDescent="0.25">
      <c r="A173" t="s">
        <v>274</v>
      </c>
      <c r="C173">
        <v>1</v>
      </c>
      <c r="D173" t="s">
        <v>77</v>
      </c>
      <c r="E173" t="s">
        <v>319</v>
      </c>
      <c r="F173" t="s">
        <v>315</v>
      </c>
      <c r="G173">
        <v>6</v>
      </c>
      <c r="H173">
        <v>5</v>
      </c>
    </row>
    <row r="174" spans="1:8" x14ac:dyDescent="0.25">
      <c r="A174" t="s">
        <v>274</v>
      </c>
      <c r="C174">
        <v>1</v>
      </c>
      <c r="D174" t="s">
        <v>78</v>
      </c>
      <c r="E174" t="s">
        <v>319</v>
      </c>
      <c r="F174" t="s">
        <v>316</v>
      </c>
      <c r="G174">
        <v>9</v>
      </c>
      <c r="H174">
        <v>6</v>
      </c>
    </row>
    <row r="175" spans="1:8" x14ac:dyDescent="0.25">
      <c r="A175" t="s">
        <v>274</v>
      </c>
      <c r="C175">
        <v>1</v>
      </c>
      <c r="D175" t="s">
        <v>78</v>
      </c>
      <c r="E175" t="s">
        <v>319</v>
      </c>
      <c r="F175" t="s">
        <v>316</v>
      </c>
      <c r="G175">
        <v>8</v>
      </c>
      <c r="H175">
        <v>7</v>
      </c>
    </row>
    <row r="176" spans="1:8" x14ac:dyDescent="0.25">
      <c r="A176" t="s">
        <v>274</v>
      </c>
      <c r="C176">
        <v>1</v>
      </c>
      <c r="D176" t="s">
        <v>78</v>
      </c>
      <c r="E176" t="s">
        <v>319</v>
      </c>
      <c r="F176" t="s">
        <v>316</v>
      </c>
      <c r="G176">
        <v>6</v>
      </c>
      <c r="H176">
        <v>8</v>
      </c>
    </row>
    <row r="177" spans="1:8" x14ac:dyDescent="0.25">
      <c r="A177" t="s">
        <v>274</v>
      </c>
      <c r="C177">
        <v>1</v>
      </c>
      <c r="D177" t="s">
        <v>78</v>
      </c>
      <c r="E177" t="s">
        <v>319</v>
      </c>
      <c r="F177" t="s">
        <v>316</v>
      </c>
      <c r="G177">
        <v>0</v>
      </c>
      <c r="H177">
        <v>2</v>
      </c>
    </row>
    <row r="178" spans="1:8" x14ac:dyDescent="0.25">
      <c r="A178" t="s">
        <v>274</v>
      </c>
      <c r="C178">
        <v>1</v>
      </c>
      <c r="D178" t="s">
        <v>78</v>
      </c>
      <c r="E178" t="s">
        <v>319</v>
      </c>
      <c r="F178" t="s">
        <v>316</v>
      </c>
      <c r="G178">
        <v>3</v>
      </c>
      <c r="H178">
        <v>5</v>
      </c>
    </row>
    <row r="179" spans="1:8" x14ac:dyDescent="0.25">
      <c r="A179" t="s">
        <v>274</v>
      </c>
      <c r="C179">
        <v>1</v>
      </c>
      <c r="D179" t="s">
        <v>78</v>
      </c>
      <c r="E179" t="s">
        <v>319</v>
      </c>
      <c r="F179" t="s">
        <v>316</v>
      </c>
      <c r="G179">
        <v>5</v>
      </c>
      <c r="H179">
        <v>0</v>
      </c>
    </row>
    <row r="180" spans="1:8" x14ac:dyDescent="0.25">
      <c r="A180" t="s">
        <v>274</v>
      </c>
      <c r="C180">
        <v>1</v>
      </c>
      <c r="D180" t="s">
        <v>78</v>
      </c>
      <c r="E180" t="s">
        <v>319</v>
      </c>
      <c r="F180" t="s">
        <v>316</v>
      </c>
      <c r="G180">
        <v>2</v>
      </c>
      <c r="H180">
        <v>0</v>
      </c>
    </row>
    <row r="181" spans="1:8" x14ac:dyDescent="0.25">
      <c r="A181" t="s">
        <v>274</v>
      </c>
      <c r="C181">
        <v>1</v>
      </c>
      <c r="D181" t="s">
        <v>78</v>
      </c>
      <c r="E181" t="s">
        <v>319</v>
      </c>
      <c r="F181" t="s">
        <v>316</v>
      </c>
      <c r="G181">
        <v>0</v>
      </c>
      <c r="H181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5DDFF-FAE5-4687-9DE6-E8C0E17B391D}">
  <dimension ref="A1:D48"/>
  <sheetViews>
    <sheetView workbookViewId="0">
      <selection activeCell="D49" sqref="D49"/>
    </sheetView>
  </sheetViews>
  <sheetFormatPr defaultRowHeight="15" x14ac:dyDescent="0.25"/>
  <cols>
    <col min="3" max="3" width="12.5703125" customWidth="1"/>
  </cols>
  <sheetData>
    <row r="1" spans="1:4" x14ac:dyDescent="0.25">
      <c r="A1" s="5" t="s">
        <v>326</v>
      </c>
      <c r="B1" s="5" t="s">
        <v>271</v>
      </c>
      <c r="C1" s="5" t="s">
        <v>86</v>
      </c>
      <c r="D1" s="5" t="s">
        <v>272</v>
      </c>
    </row>
    <row r="2" spans="1:4" x14ac:dyDescent="0.25">
      <c r="A2">
        <v>1</v>
      </c>
      <c r="B2" t="s">
        <v>86</v>
      </c>
      <c r="C2" s="5"/>
      <c r="D2" s="10" t="s">
        <v>332</v>
      </c>
    </row>
    <row r="3" spans="1:4" x14ac:dyDescent="0.25">
      <c r="A3">
        <v>1</v>
      </c>
      <c r="B3" t="s">
        <v>100</v>
      </c>
      <c r="C3" s="5"/>
      <c r="D3" s="10" t="s">
        <v>280</v>
      </c>
    </row>
    <row r="4" spans="1:4" x14ac:dyDescent="0.25">
      <c r="A4">
        <v>1</v>
      </c>
      <c r="B4" t="s">
        <v>83</v>
      </c>
      <c r="C4" t="s">
        <v>76</v>
      </c>
      <c r="D4" t="s">
        <v>273</v>
      </c>
    </row>
    <row r="5" spans="1:4" x14ac:dyDescent="0.25">
      <c r="A5">
        <v>1</v>
      </c>
      <c r="C5" t="s">
        <v>77</v>
      </c>
      <c r="D5" t="s">
        <v>274</v>
      </c>
    </row>
    <row r="6" spans="1:4" x14ac:dyDescent="0.25">
      <c r="A6">
        <v>1</v>
      </c>
      <c r="C6" t="s">
        <v>79</v>
      </c>
      <c r="D6" t="s">
        <v>275</v>
      </c>
    </row>
    <row r="7" spans="1:4" x14ac:dyDescent="0.25">
      <c r="A7">
        <v>1</v>
      </c>
      <c r="C7" t="s">
        <v>80</v>
      </c>
      <c r="D7" t="s">
        <v>276</v>
      </c>
    </row>
    <row r="8" spans="1:4" x14ac:dyDescent="0.25">
      <c r="A8">
        <v>1</v>
      </c>
      <c r="C8" t="s">
        <v>81</v>
      </c>
      <c r="D8" t="s">
        <v>277</v>
      </c>
    </row>
    <row r="9" spans="1:4" x14ac:dyDescent="0.25">
      <c r="A9">
        <v>1</v>
      </c>
      <c r="C9" t="s">
        <v>82</v>
      </c>
      <c r="D9" t="s">
        <v>278</v>
      </c>
    </row>
    <row r="10" spans="1:4" x14ac:dyDescent="0.25">
      <c r="A10">
        <v>1</v>
      </c>
      <c r="B10" t="s">
        <v>84</v>
      </c>
      <c r="C10" s="5"/>
      <c r="D10" t="s">
        <v>279</v>
      </c>
    </row>
    <row r="11" spans="1:4" x14ac:dyDescent="0.25">
      <c r="A11">
        <v>1</v>
      </c>
      <c r="B11" t="s">
        <v>85</v>
      </c>
      <c r="C11" t="s">
        <v>77</v>
      </c>
      <c r="D11" t="s">
        <v>281</v>
      </c>
    </row>
    <row r="12" spans="1:4" x14ac:dyDescent="0.25">
      <c r="A12">
        <v>1</v>
      </c>
      <c r="B12" s="5"/>
      <c r="C12" t="s">
        <v>78</v>
      </c>
      <c r="D12" t="s">
        <v>282</v>
      </c>
    </row>
    <row r="13" spans="1:4" x14ac:dyDescent="0.25">
      <c r="A13">
        <v>1</v>
      </c>
      <c r="B13" s="10" t="s">
        <v>335</v>
      </c>
      <c r="D13" t="s">
        <v>336</v>
      </c>
    </row>
    <row r="14" spans="1:4" x14ac:dyDescent="0.25">
      <c r="B14" s="10"/>
    </row>
    <row r="15" spans="1:4" x14ac:dyDescent="0.25">
      <c r="A15">
        <v>2</v>
      </c>
      <c r="B15" s="10" t="s">
        <v>132</v>
      </c>
      <c r="D15" t="s">
        <v>337</v>
      </c>
    </row>
    <row r="16" spans="1:4" x14ac:dyDescent="0.25">
      <c r="A16">
        <v>2</v>
      </c>
      <c r="B16" s="10" t="s">
        <v>133</v>
      </c>
      <c r="D16" t="s">
        <v>338</v>
      </c>
    </row>
    <row r="17" spans="1:4" x14ac:dyDescent="0.25">
      <c r="A17">
        <v>2</v>
      </c>
      <c r="B17" s="10" t="s">
        <v>134</v>
      </c>
      <c r="D17" t="s">
        <v>339</v>
      </c>
    </row>
    <row r="18" spans="1:4" x14ac:dyDescent="0.25">
      <c r="A18">
        <v>2</v>
      </c>
      <c r="B18" s="10" t="s">
        <v>135</v>
      </c>
      <c r="D18" t="s">
        <v>340</v>
      </c>
    </row>
    <row r="19" spans="1:4" x14ac:dyDescent="0.25">
      <c r="A19">
        <v>2</v>
      </c>
      <c r="B19" s="10" t="s">
        <v>136</v>
      </c>
      <c r="D19" t="s">
        <v>341</v>
      </c>
    </row>
    <row r="20" spans="1:4" x14ac:dyDescent="0.25">
      <c r="A20">
        <v>2</v>
      </c>
      <c r="B20" s="10" t="s">
        <v>137</v>
      </c>
      <c r="D20" t="s">
        <v>342</v>
      </c>
    </row>
    <row r="21" spans="1:4" x14ac:dyDescent="0.25">
      <c r="B21" s="5"/>
    </row>
    <row r="22" spans="1:4" x14ac:dyDescent="0.25">
      <c r="A22">
        <v>3</v>
      </c>
      <c r="B22" t="s">
        <v>86</v>
      </c>
      <c r="D22" s="10" t="s">
        <v>332</v>
      </c>
    </row>
    <row r="23" spans="1:4" x14ac:dyDescent="0.25">
      <c r="A23">
        <v>3</v>
      </c>
      <c r="B23" t="s">
        <v>100</v>
      </c>
      <c r="D23" s="10" t="s">
        <v>280</v>
      </c>
    </row>
    <row r="24" spans="1:4" x14ac:dyDescent="0.25">
      <c r="A24">
        <v>3</v>
      </c>
      <c r="B24" t="s">
        <v>83</v>
      </c>
      <c r="D24" s="10" t="s">
        <v>343</v>
      </c>
    </row>
    <row r="25" spans="1:4" x14ac:dyDescent="0.25">
      <c r="A25">
        <v>3</v>
      </c>
      <c r="B25" t="s">
        <v>84</v>
      </c>
      <c r="D25" t="s">
        <v>279</v>
      </c>
    </row>
    <row r="26" spans="1:4" x14ac:dyDescent="0.25">
      <c r="A26">
        <v>3</v>
      </c>
      <c r="B26" t="s">
        <v>85</v>
      </c>
      <c r="D26" t="s">
        <v>344</v>
      </c>
    </row>
    <row r="27" spans="1:4" x14ac:dyDescent="0.25">
      <c r="A27">
        <v>3</v>
      </c>
      <c r="B27" t="s">
        <v>345</v>
      </c>
      <c r="D27" t="s">
        <v>346</v>
      </c>
    </row>
    <row r="28" spans="1:4" x14ac:dyDescent="0.25">
      <c r="B28" s="5"/>
    </row>
    <row r="29" spans="1:4" x14ac:dyDescent="0.25">
      <c r="A29">
        <v>4</v>
      </c>
      <c r="B29" t="s">
        <v>83</v>
      </c>
      <c r="D29" t="s">
        <v>333</v>
      </c>
    </row>
    <row r="30" spans="1:4" x14ac:dyDescent="0.25">
      <c r="A30">
        <v>4</v>
      </c>
      <c r="B30" t="s">
        <v>84</v>
      </c>
      <c r="D30" t="s">
        <v>279</v>
      </c>
    </row>
    <row r="31" spans="1:4" x14ac:dyDescent="0.25">
      <c r="A31">
        <v>4</v>
      </c>
      <c r="B31" t="s">
        <v>87</v>
      </c>
      <c r="D31" t="s">
        <v>280</v>
      </c>
    </row>
    <row r="32" spans="1:4" x14ac:dyDescent="0.25">
      <c r="A32">
        <v>4</v>
      </c>
      <c r="B32" t="s">
        <v>85</v>
      </c>
      <c r="D32" t="s">
        <v>334</v>
      </c>
    </row>
    <row r="33" spans="1:4" x14ac:dyDescent="0.25">
      <c r="A33">
        <v>4</v>
      </c>
      <c r="B33" t="s">
        <v>88</v>
      </c>
      <c r="D33" t="s">
        <v>283</v>
      </c>
    </row>
    <row r="34" spans="1:4" x14ac:dyDescent="0.25">
      <c r="A34">
        <v>4</v>
      </c>
      <c r="B34" s="1" t="s">
        <v>92</v>
      </c>
      <c r="D34" t="s">
        <v>320</v>
      </c>
    </row>
    <row r="35" spans="1:4" x14ac:dyDescent="0.25">
      <c r="A35">
        <v>4</v>
      </c>
      <c r="B35" s="1" t="s">
        <v>93</v>
      </c>
      <c r="D35" t="s">
        <v>321</v>
      </c>
    </row>
    <row r="36" spans="1:4" x14ac:dyDescent="0.25">
      <c r="A36">
        <v>4</v>
      </c>
      <c r="B36" s="1" t="s">
        <v>94</v>
      </c>
      <c r="D36" t="s">
        <v>322</v>
      </c>
    </row>
    <row r="37" spans="1:4" x14ac:dyDescent="0.25">
      <c r="A37">
        <v>4</v>
      </c>
      <c r="B37" s="1" t="s">
        <v>89</v>
      </c>
      <c r="D37" t="s">
        <v>323</v>
      </c>
    </row>
    <row r="38" spans="1:4" x14ac:dyDescent="0.25">
      <c r="A38">
        <v>4</v>
      </c>
      <c r="B38" s="1" t="s">
        <v>90</v>
      </c>
      <c r="D38" t="s">
        <v>324</v>
      </c>
    </row>
    <row r="39" spans="1:4" x14ac:dyDescent="0.25">
      <c r="A39">
        <v>4</v>
      </c>
      <c r="B39" s="1" t="s">
        <v>91</v>
      </c>
      <c r="D39" t="s">
        <v>325</v>
      </c>
    </row>
    <row r="41" spans="1:4" x14ac:dyDescent="0.25">
      <c r="A41">
        <v>5</v>
      </c>
      <c r="B41" s="10" t="s">
        <v>284</v>
      </c>
      <c r="D41" t="s">
        <v>327</v>
      </c>
    </row>
    <row r="42" spans="1:4" x14ac:dyDescent="0.25">
      <c r="A42">
        <v>5</v>
      </c>
      <c r="B42" s="11" t="s">
        <v>285</v>
      </c>
      <c r="D42" t="s">
        <v>328</v>
      </c>
    </row>
    <row r="43" spans="1:4" x14ac:dyDescent="0.25">
      <c r="A43">
        <v>5</v>
      </c>
      <c r="B43" s="10" t="s">
        <v>286</v>
      </c>
      <c r="D43" t="s">
        <v>279</v>
      </c>
    </row>
    <row r="44" spans="1:4" x14ac:dyDescent="0.25">
      <c r="A44">
        <v>5</v>
      </c>
      <c r="B44" s="10" t="s">
        <v>287</v>
      </c>
      <c r="D44" t="s">
        <v>329</v>
      </c>
    </row>
    <row r="45" spans="1:4" x14ac:dyDescent="0.25">
      <c r="A45">
        <v>5</v>
      </c>
      <c r="B45" s="10" t="s">
        <v>317</v>
      </c>
      <c r="D45" t="s">
        <v>330</v>
      </c>
    </row>
    <row r="46" spans="1:4" x14ac:dyDescent="0.25">
      <c r="A46">
        <v>5</v>
      </c>
      <c r="B46" s="10" t="s">
        <v>288</v>
      </c>
      <c r="D46" t="s">
        <v>331</v>
      </c>
    </row>
    <row r="47" spans="1:4" x14ac:dyDescent="0.25">
      <c r="A47">
        <v>5</v>
      </c>
      <c r="B47" s="10" t="s">
        <v>289</v>
      </c>
      <c r="D47" t="s">
        <v>347</v>
      </c>
    </row>
    <row r="48" spans="1:4" x14ac:dyDescent="0.25">
      <c r="A48">
        <v>5</v>
      </c>
      <c r="B48" s="10" t="s">
        <v>290</v>
      </c>
      <c r="D48" t="s">
        <v>348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1 Species data</vt:lpstr>
      <vt:lpstr>2 Species codes</vt:lpstr>
      <vt:lpstr>3 Family data</vt:lpstr>
      <vt:lpstr>4 Ind Vars</vt:lpstr>
      <vt:lpstr>5 Plot locations</vt:lpstr>
      <vt:lpstr>6 Var codes</vt:lpstr>
    </vt:vector>
  </TitlesOfParts>
  <Company>The Ohio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Matt Davies</dc:creator>
  <cp:lastModifiedBy>Davies, Matt</cp:lastModifiedBy>
  <dcterms:created xsi:type="dcterms:W3CDTF">2017-06-19T10:23:35Z</dcterms:created>
  <dcterms:modified xsi:type="dcterms:W3CDTF">2023-01-12T20:56:05Z</dcterms:modified>
</cp:coreProperties>
</file>